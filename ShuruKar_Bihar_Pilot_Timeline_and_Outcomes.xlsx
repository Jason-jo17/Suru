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lot timeline" sheetId="1" r:id="rId5"/>
    <sheet state="visible" name="Pilot outcome funnel" sheetId="2" r:id="rId6"/>
    <sheet state="visible" name="Growth and funding proof" sheetId="3" r:id="rId7"/>
    <sheet state="visible" name="Registered mix (100)" sheetId="4" r:id="rId8"/>
    <sheet state="visible" name="Three layers and sustenance" sheetId="5" r:id="rId9"/>
    <sheet state="visible" name="Work in Progress" sheetId="6" r:id="rId10"/>
  </sheets>
  <definedNames/>
  <calcPr/>
</workbook>
</file>

<file path=xl/sharedStrings.xml><?xml version="1.0" encoding="utf-8"?>
<sst xmlns="http://schemas.openxmlformats.org/spreadsheetml/2006/main" count="442" uniqueCount="415">
  <si>
    <t>Bihar pilot - outcome funnel, held against the national ratios</t>
  </si>
  <si>
    <t>Bihar pilot - what the pilot proves beyond the funnel</t>
  </si>
  <si>
    <t>Bihar pilot - the 100 registered enterprises: who they are</t>
  </si>
  <si>
    <t>ShuruKar - Bihar pilot: execution timeline</t>
  </si>
  <si>
    <t>Every stage of the eighteen-month national funnel (Section 06) is proved in the pilot, not just prototyping. The pilot is back-solved from 255 prototypes, which is what Rs 10,00,000 buys at just under Rs 4,000 per prototype. Reach and ideas are set by YourStory Bihar distribution, not by the pilot budget, so they run far ahead of the trainable cohort - that gap is the oversubscription block below, and it is an asset, not a miss. Stages 2 to 4 are set exactly ON the national conversion - that is what makes the national funnel credible rather than aspirational. Stages 5 and 6 deliberately land BELOW the national ratio inside the pilot window, because registration and funding lag the build by six to ten weeks. Blue cells are the levers to edit; the conversion, variance and cost columns recompute.</t>
  </si>
  <si>
    <t>Pilot window 10 October 2026 to 22 March 2027. Five hub districts. Budget Rs 10,00,000. Twenty-four weeks. Phases now OVERLAP as concurrent streams rather than running in sequence - the date range on each phase band is the span of its own bars, not a stage the pilot passes through. Two sequencing rules carry the design: people qualify for the 1,000 by completing the foundation module and submitting a solution, not by a jury choosing them; and a first customer comes before registration, which comes before a funding application. Registration and funding report on a tail to 30 April 2027.</t>
  </si>
  <si>
    <t>Same six personas as the Target personas sheet in the eighteen-month workbook, so the pilot tests that persona model rather than inventing a new one. The cohort is deliberately NOT a proportional sample of submissions: students are 45 per cent of ideas nationally but only 30 per cent of the pilot cohort, because they convert to a registered enterprise at a fraction of the rate. Blue cells are the inputs - trained count and registration rate. Registered counts and all totals recompute. Women is a cross-cutting overlay, not a seventh persona.</t>
  </si>
  <si>
    <t>The funnel counts people. A funder also needs to see enterprises growing, products reaching a customer, and money moving. These five classes are the pilot's answer, each with a countable target and a verification trail. Amber text marks a figure that depends on external scheme terms and must be verified with the department before it is quoted to a funder.</t>
  </si>
  <si>
    <t>Stage</t>
  </si>
  <si>
    <t>Outcome class</t>
  </si>
  <si>
    <t>Persona</t>
  </si>
  <si>
    <t>Phase / activity</t>
  </si>
  <si>
    <t>YourStory responsibility</t>
  </si>
  <si>
    <t>InUnity responsibility</t>
  </si>
  <si>
    <t>W1</t>
  </si>
  <si>
    <t>W2</t>
  </si>
  <si>
    <t>Pilot target</t>
  </si>
  <si>
    <t>W3</t>
  </si>
  <si>
    <t>W4</t>
  </si>
  <si>
    <t>Pilot conversion</t>
  </si>
  <si>
    <t>W5</t>
  </si>
  <si>
    <t>W6</t>
  </si>
  <si>
    <t>National conversion</t>
  </si>
  <si>
    <t>W7</t>
  </si>
  <si>
    <t>Variance</t>
  </si>
  <si>
    <t>W8</t>
  </si>
  <si>
    <t>Cost per unit (Rs)</t>
  </si>
  <si>
    <t>W9</t>
  </si>
  <si>
    <t>Counting rule - same as national</t>
  </si>
  <si>
    <t>W10</t>
  </si>
  <si>
    <t>W11</t>
  </si>
  <si>
    <t>Verification source</t>
  </si>
  <si>
    <t>W12</t>
  </si>
  <si>
    <t>Reports by</t>
  </si>
  <si>
    <t>W13</t>
  </si>
  <si>
    <t>W14</t>
  </si>
  <si>
    <t>W15</t>
  </si>
  <si>
    <t>W16</t>
  </si>
  <si>
    <t>W17</t>
  </si>
  <si>
    <t>W18</t>
  </si>
  <si>
    <t>What it proves</t>
  </si>
  <si>
    <t>W19</t>
  </si>
  <si>
    <t>W20</t>
  </si>
  <si>
    <t>W21</t>
  </si>
  <si>
    <t>W22</t>
  </si>
  <si>
    <t>W23</t>
  </si>
  <si>
    <t>W24</t>
  </si>
  <si>
    <t>Reached</t>
  </si>
  <si>
    <t>National share of ideas</t>
  </si>
  <si>
    <t>Verification</t>
  </si>
  <si>
    <t>Dependency and risk</t>
  </si>
  <si>
    <t>Pilot cohort: trained</t>
  </si>
  <si>
    <t>Cohort share</t>
  </si>
  <si>
    <t>Trained to registered rate</t>
  </si>
  <si>
    <t>Registered</t>
  </si>
  <si>
    <t>Share of the 100</t>
  </si>
  <si>
    <t>Why this rate</t>
  </si>
  <si>
    <t>-</t>
  </si>
  <si>
    <t>New products solved for a real enterprise</t>
  </si>
  <si>
    <t>6 Oct</t>
  </si>
  <si>
    <t>First-time young aspirational minds (students, ITI, polytechnic)</t>
  </si>
  <si>
    <t>13 Oct</t>
  </si>
  <si>
    <t>20 Oct</t>
  </si>
  <si>
    <t>27 Oct</t>
  </si>
  <si>
    <t>That the model produces solutions to problems enterprises actually have, not classroom projects. Every prototype traces back to a named MSME, SHG or FPO problem statement.</t>
  </si>
  <si>
    <t>3 Nov</t>
  </si>
  <si>
    <t>10 Nov</t>
  </si>
  <si>
    <t>17 Nov</t>
  </si>
  <si>
    <t>24 Nov</t>
  </si>
  <si>
    <t>1 Dec</t>
  </si>
  <si>
    <t>8 Dec</t>
  </si>
  <si>
    <t>15 Dec</t>
  </si>
  <si>
    <t>22 Dec</t>
  </si>
  <si>
    <t>29 Dec</t>
  </si>
  <si>
    <t>5 Jan</t>
  </si>
  <si>
    <t>255 prototypes against 150 logged enterprise problem statements</t>
  </si>
  <si>
    <t>12 Jan</t>
  </si>
  <si>
    <t>19 Jan</t>
  </si>
  <si>
    <t>26 Jan</t>
  </si>
  <si>
    <t>2 Feb</t>
  </si>
  <si>
    <t>9 Feb</t>
  </si>
  <si>
    <t>16 Feb</t>
  </si>
  <si>
    <t>Problem statement register with enterprise name, signature and cluster; prototype-to-problem mapping on the platform</t>
  </si>
  <si>
    <t>23 Feb</t>
  </si>
  <si>
    <t>2 Mar</t>
  </si>
  <si>
    <t>9 Mar</t>
  </si>
  <si>
    <t>Requires MSME problem capture to reach 150 by 30 Nov. If it lands below 100, prototypes revert to self-generated ideas and this claim weakens badly.</t>
  </si>
  <si>
    <t>16 Mar</t>
  </si>
  <si>
    <t>PHASE 0 - PRE-LAUNCH  |  6-12 Oct  |  Gate: five districts live on day one</t>
  </si>
  <si>
    <t>Existing MSMEs growing</t>
  </si>
  <si>
    <t>The InUnity three-circle claim: talent plus infrastructure plus intelligence changes the enterprise, not only the student. This is the outcome a District Magistrate and a CSR funder both buy.</t>
  </si>
  <si>
    <t>40 MSMEs adopt a solution; 15 report a measurable change</t>
  </si>
  <si>
    <t>Signed adoption note per enterprise; baseline and endline on one metric the enterprise itself names</t>
  </si>
  <si>
    <t>Measurable change in six weeks is only credible on fast metrics - packaging, listing, digitisation, compliance. Do not promise productivity or revenue uplift inside the pilot.</t>
  </si>
  <si>
    <t>Documented media and institutional reach methodology</t>
  </si>
  <si>
    <t>New startups registered</t>
  </si>
  <si>
    <t>That the funnel converts into formal enterprise, which is the stage government counts and funds.</t>
  </si>
  <si>
    <t>YourStory Bihar audience, district event registers</t>
  </si>
  <si>
    <t>100 Udyam, GST, licence or incorporation registrations; 25 DPIIT recognitions</t>
  </si>
  <si>
    <t>Udyam or GST number verified against the public record; DPIIT recognition certificate number</t>
  </si>
  <si>
    <t>22 Mar</t>
  </si>
  <si>
    <t>DPIIT recognition requires incorporation as a private limited, LLP or registered partnership. Student teams will need help and a small fee - budgeted in contingency.</t>
  </si>
  <si>
    <t>Startups funded</t>
  </si>
  <si>
    <t>That money moves. This is the stage the whole eighteen-month case rests on, and the one a pilot usually never reaches.</t>
  </si>
  <si>
    <t>25 Startup Bihar seed applications filed; 10 sanctioned or with a documented first paying customer</t>
  </si>
  <si>
    <t>Confirm 5 hub districts;</t>
  </si>
  <si>
    <t>Sanction letter, or invoice plus bank credit for a first paying customer</t>
  </si>
  <si>
    <t>Engaged: ideas submitted</t>
  </si>
  <si>
    <t>VERIFY: Bihar Startup Policy terms, the interest-free seed amount per startup and the current application window must be confirmed with the Industries Department before this is quoted anywhere.</t>
  </si>
  <si>
    <t>DPIIT / Startup India endorsement line</t>
  </si>
  <si>
    <t>Co-Identify the districts with your story. The districts will be identified based on the availability of strong industries, Anchor institutions, and infrastructure available to build business ( MVP to first customer )</t>
  </si>
  <si>
    <t>Regional intelligence built</t>
  </si>
  <si>
    <t>That the pilot leaves behind an asset the district did not have: a block-level map of what people in these five hubs want to build, what is stopping them, and which enterprise problems are real. This is what makes cycle two cheaper than cycle one.</t>
  </si>
  <si>
    <t>15,000 aspiration records; 150 validated enterprise problems; 5 District Innovation Profiles</t>
  </si>
  <si>
    <t>The SEED Bank itself, handed to each DIC; profile document per hub signed off by the district administration</t>
  </si>
  <si>
    <t>Only works if the submission form captures aspiration, block, current status and constraint at intake. Retrofitting this in January is impossible - the form must be right before 10 October.</t>
  </si>
  <si>
    <t>Students into apprenticeship and work</t>
  </si>
  <si>
    <t>5% of reached</t>
  </si>
  <si>
    <t>The employability layer. For a district administration this is the outcome that justifies funding the next cycle.</t>
  </si>
  <si>
    <t>60 students into apprenticeship, internship or employment with a cluster enterprise</t>
  </si>
  <si>
    <t>Offer or apprenticeship letter from the enterprise; stipend record</t>
  </si>
  <si>
    <t>Apprenticeship is the newest layer in the model and has the thinnest prior evidence. Treat 60 as a floor to beat, not a stretch target.</t>
  </si>
  <si>
    <t>Appoint and contract 5 district anchors (honorarium)</t>
  </si>
  <si>
    <t xml:space="preserve">Educate and help the partners align to the execution flow. </t>
  </si>
  <si>
    <t>The fundraising arithmetic</t>
  </si>
  <si>
    <t>Unique problem or opportunity submission with participant ID</t>
  </si>
  <si>
    <t>WhatsApp number and Hindi chatbot flow live for idea capture</t>
  </si>
  <si>
    <t>Platform and WhatsApp logs, participant ID</t>
  </si>
  <si>
    <t>30 Nov</t>
  </si>
  <si>
    <t xml:space="preserve">Number provisioning and whatsapp business API approval </t>
  </si>
  <si>
    <t>Flow design, Hindi and English script, test with 50 users</t>
  </si>
  <si>
    <t>Line</t>
  </si>
  <si>
    <t>Figure</t>
  </si>
  <si>
    <t>Note</t>
  </si>
  <si>
    <t>Trained ( can be approximated to 1000)</t>
  </si>
  <si>
    <t>50% of engaged - NOT applied, see below</t>
  </si>
  <si>
    <t>The volume engine, the weakest converter. Most take a job between training and registration. One in twenty registering is realistic, not pessimistic.</t>
  </si>
  <si>
    <t>capped</t>
  </si>
  <si>
    <t>Pilot cost</t>
  </si>
  <si>
    <t>Rs 10,00,000</t>
  </si>
  <si>
    <t>Landing page and registration form live (shurukar.in Bihar)</t>
  </si>
  <si>
    <t>Build and host</t>
  </si>
  <si>
    <t xml:space="preserve">Connect the page ( form and whastapp Number ) to the back end CRM </t>
  </si>
  <si>
    <t>Completed a track AND submitted a solution. Free-access learners who do neither are counted separately as reached-for-learning, not as trained</t>
  </si>
  <si>
    <t>Fully spent inside the pilot window; no capital cost carried forward.</t>
  </si>
  <si>
    <t>LMS completion record plus a submitted solution on the platform</t>
  </si>
  <si>
    <t>22 Feb</t>
  </si>
  <si>
    <t>Aspirational working class (4-5 years into a job, incl. corporate and formal sector)</t>
  </si>
  <si>
    <t xml:space="preserve">Dashboard to capture KPIs to be made ready ( Focussing on the input and Outcome Funnel ) </t>
  </si>
  <si>
    <t>Provide inputs on any metrics thats crucial for the mission and fund raising</t>
  </si>
  <si>
    <t>Build the dashboard and the ways to capture the data points</t>
  </si>
  <si>
    <t>Built: prototype tested</t>
  </si>
  <si>
    <t>30% of trained</t>
  </si>
  <si>
    <t>Real customer insight and some savings to self-finance. Starts alongside the job, which slows registration but does not stop it. The largest single block of the 100.</t>
  </si>
  <si>
    <t>Cost per prototype at TRL 3-4</t>
  </si>
  <si>
    <t>District problem longlist from DIC, MSME-DI and cluster bodies</t>
  </si>
  <si>
    <t>Rs 4,000</t>
  </si>
  <si>
    <t>Work with association to seek help in terms of getting access to right companies from the sector</t>
  </si>
  <si>
    <t>The single number to lead with. Compare it against any incubator or skilling benchmark.</t>
  </si>
  <si>
    <t>Homemakers, social workers, SHG members</t>
  </si>
  <si>
    <t>A real product or service, with evidence of a customer test</t>
  </si>
  <si>
    <t>Evidence pack per prototype: photo, video, customer sign-off</t>
  </si>
  <si>
    <t>Build the overall flow for Idea capture, Whatsapp Bot conversations and data required for idea submission for further sortlisting</t>
  </si>
  <si>
    <t>Cost per idea captured</t>
  </si>
  <si>
    <t>Rs 67</t>
  </si>
  <si>
    <t>JEEViKA federations reach them on a fixed weekly day and can run group registration camps. Udyam is free and needs only Aadhaar and PAN, which suits this persona well.</t>
  </si>
  <si>
    <t>Fifteen thousand aspiration records across five hubs and their feeders, at the price of a cup of tea each. The SEED Bank is almost a free by-product of the funnel.</t>
  </si>
  <si>
    <t>Started: enterprise registered</t>
  </si>
  <si>
    <t>67% of built</t>
  </si>
  <si>
    <t>Already running a venture that is not growing</t>
  </si>
  <si>
    <t>Launch-day plan with Patna DM, DIC and the Startup Bihar cell</t>
  </si>
  <si>
    <t>National launch stage, DPIIT presence</t>
  </si>
  <si>
    <t xml:space="preserve">Network with people and organisations for operational excellence / distribution post launch </t>
  </si>
  <si>
    <t>Cost per trained participant</t>
  </si>
  <si>
    <t>Rs 1,176</t>
  </si>
  <si>
    <t>Against a typical skilling cost per head, this is the efficiency claim.</t>
  </si>
  <si>
    <t>Shortest distance to a Udyam number in the whole funnel - the business already exists, only the paperwork is missing. Highest rate in the set, and the reason 100 is reachable at all.</t>
  </si>
  <si>
    <t>PHASE 1 - LAUNCH AND GROUND MOBILISATION  |  13 Oct - 30 Nov  |  Gate: 15,000 ideas, 3,00,000 reached</t>
  </si>
  <si>
    <t>Udyam, GST, licence or incorporation verified against the record</t>
  </si>
  <si>
    <t>Udyam or GST number, DIC confirmation</t>
  </si>
  <si>
    <t>30 Apr</t>
  </si>
  <si>
    <t>Second-generation entrepreneurs</t>
  </si>
  <si>
    <t>Cost per registered enterprise</t>
  </si>
  <si>
    <t>Rs 10,000</t>
  </si>
  <si>
    <t>The cheapest route to a formal enterprise that a district administration can buy, by a wide margin.</t>
  </si>
  <si>
    <t>Funded</t>
  </si>
  <si>
    <t>10% of started</t>
  </si>
  <si>
    <t>Family capital, a CA already engaged, often a GST number in place. Converts well, but the pool is small, so it can never carry volume.</t>
  </si>
  <si>
    <t>Cost per funded venture</t>
  </si>
  <si>
    <t>Rs 1,00,000</t>
  </si>
  <si>
    <t>Against the capital each one goes on to raise - see the Funded portfolio sheet.</t>
  </si>
  <si>
    <t>Grant, seed support or financing documented</t>
  </si>
  <si>
    <t>Failed entrepreneurs</t>
  </si>
  <si>
    <t>Sanction letter: Startup Bihar seed, DPIIT-linked grant, or bank</t>
  </si>
  <si>
    <t>State seed capital unlocked</t>
  </si>
  <si>
    <t>National launch; Bihar pilot announced as the first state</t>
  </si>
  <si>
    <t>Launch event, national media</t>
  </si>
  <si>
    <t>VERIFY before quoting</t>
  </si>
  <si>
    <t xml:space="preserve">Partner with potential distributors in the event- startups, evangelists, and so on. A QR code for people to partner or register themselves. 
Provide a realistic time line in the website for the next set of stages and the flow of events. </t>
  </si>
  <si>
    <t>Need capital far more than teaching. Re-registration is quick when it happens, but many will wait for the funding decision before registering again.</t>
  </si>
  <si>
    <t>Total third-party capital into the ten funded ventures - state seed, grants and outside equity. Modelled at about Rs 1.15 crore, an eleven-times leverage on the pilot. This, not enterprise value, is the number to lead with, because every rupee of it has a sanction letter or a bank credit behind it. Confirm the Bihar seed amount with the Industries Department first.</t>
  </si>
  <si>
    <t>Why stages 5 and 6 sit below the national ratio</t>
  </si>
  <si>
    <t>TOTAL</t>
  </si>
  <si>
    <t>Institution mobilisation: 25 colleges across the five hubs</t>
  </si>
  <si>
    <t>Scale implication</t>
  </si>
  <si>
    <t>Credibility collateral, DPIIT letter</t>
  </si>
  <si>
    <t>33 remaining districts</t>
  </si>
  <si>
    <t>A prototype tested in February cannot be a registered enterprise with a sanction letter by mid-March. The national funnel has eighteen months for that cascade; the pilot has five.</t>
  </si>
  <si>
    <t>Principal meetings, nodal faculty per college, calendar</t>
  </si>
  <si>
    <t>If the five-district unit cost holds, the per-district cost of the national rollout can be stated with evidence rather than estimated.</t>
  </si>
  <si>
    <t>Stage 3 is NOT a conversion in this pilot. Training capacity is capped at 850 by the budget, not by demand, so the national 50 per cent cannot be applied to it. It is a selection rate. Stage 5 is proved as a RATIO ON A SMALLER BASE: 100 registrations off 255 builds is 39 per cent against the national 67 per cent. Stage 6 needs no discount at all - 10 funded off 100 registered IS the national 10 per cent, exactly. The funding conversion is proved outright inside five months; only the registration conversion is proved partially.</t>
  </si>
  <si>
    <t>Two-day district idea workshops: five hubs x two rounds, four hrs a day. GROUND MOBILISATION, NOT TRAINING - the job is to turn raw intent into a well-formed idea</t>
  </si>
  <si>
    <t>Approval of the workshop format</t>
  </si>
  <si>
    <t>Venue, logistics, facilitation, attendance. Separate formats for college students and for micro, small and medium businesses - the second format is how owner-operators with conviction but no network enter the funnel</t>
  </si>
  <si>
    <t>The honest claim to a funder: the first four conversions are proved at national rate; the fifth and sixth are proved as mechanisms with a verified early cohort, and the full ratio stays a projection that the tail to 30 April tests.</t>
  </si>
  <si>
    <t>MSME and cluster mobilisation: 150 enterprises, problems logged</t>
  </si>
  <si>
    <t>Industry association introductions at state level</t>
  </si>
  <si>
    <t>If YourStory wants the pilot to claim the full 67 per cent registration ratio, the pilot window has to run to 30 June, not 15 March. That is a decision to take now, not in February.</t>
  </si>
  <si>
    <t>Cluster visits, problem capture, consent to adopt</t>
  </si>
  <si>
    <t>SHG and FPO mobilisation through JEEViKA and NABARD channels</t>
  </si>
  <si>
    <t>State-level MoU support</t>
  </si>
  <si>
    <t>District level meetings, 20 SHG clusters</t>
  </si>
  <si>
    <t>WhatsApp, voice and campus idea drive (15,000 ideas)</t>
  </si>
  <si>
    <t>Campaign creative, influencer and media amplification</t>
  </si>
  <si>
    <t>District drive, Nodal Institute Innovation Council to be involved, AICTE Idea Labs and ACIC to be connected.</t>
  </si>
  <si>
    <t>Weekly district dashboard review (reach, ideas, source mix)</t>
  </si>
  <si>
    <t>Dashboard build and hosting</t>
  </si>
  <si>
    <t>Data discipline, anchor accountability, weekly note</t>
  </si>
  <si>
    <t>Media: YourStory Bihar coverage plus five district stories</t>
  </si>
  <si>
    <t>Editorial, publishing, distribution</t>
  </si>
  <si>
    <t>Story sourcing, participant access</t>
  </si>
  <si>
    <t>PHASE 2 - QUALIFY AND BUILD THE COURSE  |  20 Oct - 4 Jan  |  Gate: 1,000 teams qualified by course completion, not by jury</t>
  </si>
  <si>
    <t>Blended trained-to-registered rate. The national funnel implies 20 per cent over eighteen months; the pilot delivers 11.8 per cent in five, which is the lag, not a failure of the model.</t>
  </si>
  <si>
    <t>FOUNDATION MODULE: free to all 15,000. Completion plus a submitted solution brief is the qualifying filter</t>
  </si>
  <si>
    <t>Open enrolment, no gatekeeping; host on the platform</t>
  </si>
  <si>
    <t>Short self-paced module - problem validation, founder-problem fit, solution concept. People qualify themselves by effort; nobody is rejected</t>
  </si>
  <si>
    <t>Screen qualified submissions down to 1,000 teams - AI-scored, jury-calibrated</t>
  </si>
  <si>
    <t>Inputs on scoring biases, weightage and criteria for selection</t>
  </si>
  <si>
    <t>Jury per district, calibration. No Rejection Policy - everyone keeps free course access and stays in the community for news and learning resources</t>
  </si>
  <si>
    <t>Women: the cross-cutting overlay</t>
  </si>
  <si>
    <t>Women share of that persona</t>
  </si>
  <si>
    <t>Women registered</t>
  </si>
  <si>
    <t>Team formation: 200-250 teams of four to five and briefing to the teams</t>
  </si>
  <si>
    <t>Region, sector and business model specific</t>
  </si>
  <si>
    <t>Degree and polytechnic cohorts balance out the engineering skew.</t>
  </si>
  <si>
    <t xml:space="preserve">Course build: 
Track 1 : 6-module Hindi &amp; English curriculum to TRL 3-4
Track 2 : 6-module Hindi &amp; English curriculum curriculum to TRL 4-6 ( Commercialisation and Business Registration ) </t>
  </si>
  <si>
    <t xml:space="preserve">Access to Startup Founders for Live Classes and Recordings for Case Studies. </t>
  </si>
  <si>
    <t xml:space="preserve">The curriculum will be joint IP of Yourstory &amp; InUnity- Curriculum design, MSME-grounded cases, facilitator guide
Provide an LMS, Evaluation Platform, and progress tracking </t>
  </si>
  <si>
    <t>The hardest persona for women's participation in Bihar district towns. Do not plan the floor on this block.</t>
  </si>
  <si>
    <t>Secure an AI credits partner for the Co-Pilot (AWS, NVIDIA Inception, Google or similar)</t>
  </si>
  <si>
    <t>Lead the approach - the relationship and the brand weight sit here</t>
  </si>
  <si>
    <t>Effectively an all-women channel. This single persona carries almost half the women's number on its own.</t>
  </si>
  <si>
    <t>Scope the requirement, technical integration, fallback plan if no partner lands by 30 November</t>
  </si>
  <si>
    <t>Women-run micro-ventures in food, tailoring, retail and services are well represented on trade streets.</t>
  </si>
  <si>
    <t>Mentor recruitment: 40 sector and domain mentors</t>
  </si>
  <si>
    <t>National mentor pool access</t>
  </si>
  <si>
    <t xml:space="preserve">Induction and scheduling of the sessions for interaction 
Target Mentors for TRL3-4, TRL5-6 across 6 functions &amp; 8 triads. </t>
  </si>
  <si>
    <t>Family businesses in Bihar still hand the venture to sons. Treat 25 per cent as something to push, not assume.</t>
  </si>
  <si>
    <t>Onboard 12 existing incubators, IEDCs, AIC's &amp; ACIC's and tool rooms</t>
  </si>
  <si>
    <t>Startup India and incubator network introductions</t>
  </si>
  <si>
    <t xml:space="preserve">Mapping, routing MoU, zero capex - facilitating access to the existing infrastructure
( To develop Prototypes and an MVP for the selected 1000 - AI based recommendation to the teams based on the protoype and need ) </t>
  </si>
  <si>
    <t>Smallest pool, smallest contribution. Not a lever.</t>
  </si>
  <si>
    <t>WOMEN TOTAL</t>
  </si>
  <si>
    <t xml:space="preserve">Getting the experts prepped up </t>
  </si>
  <si>
    <t>Briefing the Experts, Assist in developing the curriculum and delivery of the curriculum</t>
  </si>
  <si>
    <t>Match MSME problem statements to teams</t>
  </si>
  <si>
    <t>Cluster-wise matching, MSME consent, scope notes</t>
  </si>
  <si>
    <t>Clears the 40 per cent women's floor set in the national persona sheet - but only because the SHG channel is doing the heavy lifting. If JEEViKA access slips, the floor is missed and there is no second route to it.</t>
  </si>
  <si>
    <t>PHASE 3 - TRAIN  |  15 Dec - 22 Feb  |  Gate: 850 complete a track and submit a solution  |  Tracks run SEQUENTIALLY</t>
  </si>
  <si>
    <t>The operational consequence: 100 registrations is not reachable off a student-heavy cohort. The owner-operator personas enter through the business format of the two-day district workshops - people with real conviction who are running something small only because they have no access to a network. That is an education-and-invitation route, not a recruitment drive for numbers, and it is the right one; but it means the business-format workshops carry the entire registration case and must not be allowed to become the overflow room for the college sessions.</t>
  </si>
  <si>
    <t>Udyam registration is free, online and same-day, needing only Aadhaar and PAN. Volume is therefore an access and facilitation problem, not a cost problem, which is why 100 is affordable inside the same Rs 10,00,000.</t>
  </si>
  <si>
    <t>Incorporation for the 25 DPIIT-recognition cohort is NOT free. That cost sits in the Rs 77,000 contingency and is the tightest line in the budget at this registration volume.</t>
  </si>
  <si>
    <t>Capture persona at submission as a 'current status' field. Persona by stage is what ranks who enters the cohort - and the cohort mix, not the submission mix, is what decides whether 100 lands.</t>
  </si>
  <si>
    <t>Track 1 - TRL 3-4: build the prototype. Weekly online cohort sessions for the 1,000. Work done on the platform with Co-Pilot</t>
  </si>
  <si>
    <t>Zoom and platform</t>
  </si>
  <si>
    <t>Cohort managers, attendance, grievances and MEL (monitoring, evaluation and learning)</t>
  </si>
  <si>
    <t>Track 2 - TRL 4-6: commercialisation, first customer and registration. Same 1,000, after Track 1 - not a parallel cohort</t>
  </si>
  <si>
    <t>Mentor office hours: two slots per team</t>
  </si>
  <si>
    <t>Scheduling on platform</t>
  </si>
  <si>
    <t>Mentor-team pairing, session notes, escalation</t>
  </si>
  <si>
    <t>PHASE 4 - PROTOTYPE, VALIDATE AND REGISTER  |  5 Jan - 22 Mar  |  Gate: 255 prototypes with a customer, 100 registrations</t>
  </si>
  <si>
    <t>Prototype sprint: 255 builds to TRL 3-4 and TRL 4-5. The long bar is deliberate - it carries the iteration cycles</t>
  </si>
  <si>
    <t>Prototype grant mechanism if available</t>
  </si>
  <si>
    <t>Institution lab and MSME shop-floor access, build reviews</t>
  </si>
  <si>
    <t>Customer and MSME testing; evidence capture per prototype</t>
  </si>
  <si>
    <t>Evidence template on platform</t>
  </si>
  <si>
    <t>Field verification, photo and video, customer sign-off</t>
  </si>
  <si>
    <t xml:space="preserve">DPIIT Startup India recognition drive: 25 recognitions
* Once the first customer is recognised and is willing / is paying for the solution </t>
  </si>
  <si>
    <t>DPIIT channel and fast-track</t>
  </si>
  <si>
    <t>Eligibility screening, application support, follow-through</t>
  </si>
  <si>
    <t>Udyam, GST or licence registration drive: 100 enterprises</t>
  </si>
  <si>
    <t>District facilitation camps with DIC, document support</t>
  </si>
  <si>
    <t>Startup Bihar seed applications: 25 filed, 10 sanctioned</t>
  </si>
  <si>
    <t>State government introductions</t>
  </si>
  <si>
    <t>Application writing support, DIC liaison, tracking</t>
  </si>
  <si>
    <t>PHASE 5 - DEMONSTRATE AND CONVERT  |  9 Feb - 22 Mar  |  Customer first, then registration, then funding</t>
  </si>
  <si>
    <t>District demo days x five, with DM and DIC present. Purpose is CUSTOMER ACQUISITION - a first customer is what triggers registration</t>
  </si>
  <si>
    <t>National visibility, judges, DPIIT presence</t>
  </si>
  <si>
    <t>Curation, logistics, MSME and buyer invitations</t>
  </si>
  <si>
    <t>Bihar Pilot Showcase, Patna: top 50 prototypes</t>
  </si>
  <si>
    <t>Stage, state government, media, investor invitations</t>
  </si>
  <si>
    <t>Curation, participant travel, pitch preparation</t>
  </si>
  <si>
    <t>Investor demo day, run separately from the customer demo days</t>
  </si>
  <si>
    <t>Investor and media invitations; DPIIT presence</t>
  </si>
  <si>
    <t>Curation of the ventures that already have customer validation - which is what gives the Startup Bihar applications their weight</t>
  </si>
  <si>
    <t>Apprenticeship and internship placements: 60 students</t>
  </si>
  <si>
    <t>National employer network</t>
  </si>
  <si>
    <t>MSME placement, stipend negotiation, tracking</t>
  </si>
  <si>
    <t>District Innovation Profile for policy makers (5 documents). POLICY-LEVEL INTELLIGENCE ONLY - the SEED Bank itself stays ShuruKar proprietary</t>
  </si>
  <si>
    <t>Derived analysis for the DIC and DM: sector concentration, constraint patterns, block-level opportunity. No raw records leave ShuruKar</t>
  </si>
  <si>
    <t>Pilot evidence report and national fundraise pack</t>
  </si>
  <si>
    <t>Co-authorship, funder distribution</t>
  </si>
  <si>
    <t>Data, verification trail, district cases, costing</t>
  </si>
  <si>
    <t>Bihar pilot - the three layers, and why cycle two costs less than cycle one</t>
  </si>
  <si>
    <t>The pilot should also prove the method and systems built for sustenance. Hence the three flywheels ( engines for success ) will be built in the pilot itself for demonstration. This is the core of how InUnity works</t>
  </si>
  <si>
    <t>Layer</t>
  </si>
  <si>
    <t>What the pilot builds</t>
  </si>
  <si>
    <t>Why it carries into cycle two</t>
  </si>
  <si>
    <t>Cost to rebuild in cycle two</t>
  </si>
  <si>
    <t>1. Regional intelligence (SEED Bank)</t>
  </si>
  <si>
    <t>Block-level aspiration and constraint data from every submission, plus validated enterprise problems. The SEED Bank is a ShuruKar asset and stays proprietary; what the district receives is a derived District Innovation Profile for policy making.</t>
  </si>
  <si>
    <t>15,000 aspiration records (ShuruKar-owned); 150 validated enterprise problems; 5 District Innovation Profiles (shared)</t>
  </si>
  <si>
    <t>ShuruKar - YourStory and InUnity jointly. The DIC receives policy-level intelligence only, not the records.</t>
  </si>
  <si>
    <t>Data compounds inside ShuruKar. Cycle two opens with 15,000 named, persona-tagged, contactable people and a known constraint map instead of opening cold. Keeping it proprietary is what makes it an asset rather than a public good - but it also means the district's goodwill has to be earned by the Profile, not by the data.</t>
  </si>
  <si>
    <t>2. Regional talent (universities)</t>
  </si>
  <si>
    <t>The regional talent base itself: colleges mobilised with a named nodal faculty contact, and a mentor pool resident in Bihar. Delivery in cycle one is by InUnity - there is no time inside five months to train and certify college faculty.</t>
  </si>
  <si>
    <t>25 colleges with named nodal faculty; 40 Bihar-resident mentors. Facilitator certification deferred to cycle two.</t>
  </si>
  <si>
    <t>The institutions hold the relationship; the mentors stay in the ecosystem</t>
  </si>
  <si>
    <t>The relationships and the mentor pool carry forward at no cost, and that is real. But the delivery cost does NOT fall in cycle two unless faculty are certified - so certification has to be the first thing cycle two funds, and the cycle-two saving below assumes it happens.</t>
  </si>
  <si>
    <t>Unchanged until faculty are certified</t>
  </si>
  <si>
    <t>3. Regional infrastructure (existing incubators and catalogues of the MSMEs which provides a view into their infrastructure)</t>
  </si>
  <si>
    <t>Existing facilities mapped and brought under a routing agreement - college incubators and IEDCs, Startup Bihar incubation centres, Atal Tinkering Labs, MSME-DI tool rooms, cluster common facility centres. Nothing new is built.</t>
  </si>
  <si>
    <t>12 existing facilities under MoU; zero capital expenditure and catalogue of 150+ enterprises</t>
  </si>
  <si>
    <t>Zero capex means there is nothing to maintain and nothing to depreciate. The model is a routing layer over infrastructure that already exists and is underused - so it survives the end of the grant by construction.</t>
  </si>
  <si>
    <t>Nil</t>
  </si>
  <si>
    <t>Where the three layers meet: the cycle economics</t>
  </si>
  <si>
    <t>Cycle</t>
  </si>
  <si>
    <t>Budget (Rs)</t>
  </si>
  <si>
    <t>Prototypes</t>
  </si>
  <si>
    <t>Cost per prototype (Rs)</t>
  </si>
  <si>
    <t>What has changed since the previous cycle</t>
  </si>
  <si>
    <t>Funding source</t>
  </si>
  <si>
    <t>Cycle 1</t>
  </si>
  <si>
    <t>Everything is built from zero: platform, course, facilitator pool, institutional relationships, problem map.</t>
  </si>
  <si>
    <t>YourStory / ShuruKar pilot grant</t>
  </si>
  <si>
    <t>Cycle 2</t>
  </si>
  <si>
    <t>Platform and course exist. Facilitators are certified. 15,000 warm records replace cold mobilisation. Venues are institutional and free.</t>
  </si>
  <si>
    <t>CSR or district administration</t>
  </si>
  <si>
    <t>Cycle 3</t>
  </si>
  <si>
    <t>Anchors partly absorbed by institutions. Mentor pool self-replenishing. Problem flow now comes from MSMEs unprompted.</t>
  </si>
  <si>
    <t>District administration / MSME cess</t>
  </si>
  <si>
    <t>Cycle 4</t>
  </si>
  <si>
    <t>Facilitation fully institutional. InUnity role reduces to intelligence custody and quality assurance.</t>
  </si>
  <si>
    <t>Self-sustaining within district budgets</t>
  </si>
  <si>
    <t>FOUR CYCLES</t>
  </si>
  <si>
    <t>Cost per prototype falls by roughly three quarters across four cycles. By cycle four it sits inside what a district administration or a single CSR partner can absorb without external funding - which is the definition of the tipping point the cluster model describes.</t>
  </si>
  <si>
    <t>What the pilot must actually prove about sustenance</t>
  </si>
  <si>
    <t>The cycle-two through cycle-four figures above are MODELLED. No pilot can prove them, because a pilot is cycle one by definition. Do not present them as results.</t>
  </si>
  <si>
    <t>What the pilot CAN prove, and must be instrumented to prove: that the SEED Bank exists and is rich enough to generate a District Innovation Profile the administration acts on; that twelve existing facilities signed a routing MoU without being paid to; and that 25 colleges stayed engaged to the end. Facilitator independence is NOT proved in cycle one, because InUnity delivers.</t>
  </si>
  <si>
    <t>If those three hold, the cycle-two cost reduction is a reasonable inference and can be presented as such. If any one fails, the sustenance argument fails with it - and it is better to find that out in a five-district pilot than in thirty-eight.</t>
  </si>
  <si>
    <t>The honest gap to name before a funder names it: cycle one does not prove that delivery can leave InUnity's hands, because faculty certification does not fit in five months. The cycle-two cost reduction therefore rests on an untested assumption. Say so, and make faculty certification the first line item of the cycle-two budget - a funder will respect that far more than a claim the pilot cannot support.</t>
  </si>
  <si>
    <t>This sheet is also the answer to the question every District Magistrate asks, which is what happens when the money stops. Layers one and three cost nothing to carry. Layer two is the one that still costs money in cycle two, and that is the honest answer to give.</t>
  </si>
  <si>
    <t>Bihar pilot - the 10 funded ventures: capital raised and what they are worth</t>
  </si>
  <si>
    <t>Ten funded off 100 registered is exactly the national 10 per cent conversion, so this stage needs no discount for the short pilot window. Read the two blocks in order: CAPITAL MOBILISED is a hard number with a sanction letter or bank credit behind every rupee. ENTERPRISE VALUE is notional for eight of the ten and should be presented as a range, with the method shown. Lead a funder with the first block. The second is supporting evidence, not the headline - see the caution at the foot of the sheet.</t>
  </si>
  <si>
    <t>Block 1 - capital mobilised into the ten (hard number)</t>
  </si>
  <si>
    <t>Tier</t>
  </si>
  <si>
    <t>Ventures</t>
  </si>
  <si>
    <t>Source of capital</t>
  </si>
  <si>
    <t>Per venture (Rs)</t>
  </si>
  <si>
    <t>Tier total (Rs)</t>
  </si>
  <si>
    <t>Likely personas</t>
  </si>
  <si>
    <t>Evidence held</t>
  </si>
  <si>
    <t>Confidence</t>
  </si>
  <si>
    <t>Tier 1 - outside equity</t>
  </si>
  <si>
    <t>Angel, micro-VC or incubator convertible note</t>
  </si>
  <si>
    <t>Already running a venture; failed entrepreneur returning</t>
  </si>
  <si>
    <t>Share subscription or convertible note, cap table, bank credit</t>
  </si>
  <si>
    <t>Low - this is the stretch</t>
  </si>
  <si>
    <t>Tier 2 - state seed</t>
  </si>
  <si>
    <t>Bihar Startup Policy interest-free seed (VERIFY amount)</t>
  </si>
  <si>
    <t>Second-generation; already running a venture</t>
  </si>
  <si>
    <t>Sanction letter from the Industries Department</t>
  </si>
  <si>
    <t>Medium</t>
  </si>
  <si>
    <t>Tier 3 - grant and scheme</t>
  </si>
  <si>
    <t>PMEGP, district MSME scheme, CSR grant, or first paying customer</t>
  </si>
  <si>
    <t>SHG collective; aspirational working class; one student venture</t>
  </si>
  <si>
    <t>Sanction letter, or invoice plus bank credit</t>
  </si>
  <si>
    <t>High</t>
  </si>
  <si>
    <t>TOTAL CAPITAL MOBILISED</t>
  </si>
  <si>
    <t>Every rupee here has a sanction letter, a note or a bank credit behind it. This is the fundraising headline.</t>
  </si>
  <si>
    <t>Block 2 - enterprise value of the ten (notional for eight of them)</t>
  </si>
  <si>
    <t>Valuation method</t>
  </si>
  <si>
    <t>Low (Rs)</t>
  </si>
  <si>
    <t>High (Rs)</t>
  </si>
  <si>
    <t>Tier low (Rs)</t>
  </si>
  <si>
    <t>Tier high (Rs)</t>
  </si>
  <si>
    <t>Why this method and where it will be attacked</t>
  </si>
  <si>
    <t>Tier 1 - priced by the market</t>
  </si>
  <si>
    <t>Post-money valuation set by the investor in the round</t>
  </si>
  <si>
    <t>The only two with a real, externally set price. A Bihar district venture at five months with a tested prototype and early revenue prices at roughly Rs 1 to 1.5 crore post-money, not Bengaluru numbers. Defensible because a third party paid it.</t>
  </si>
  <si>
    <t>Tier 2 - revenue-backed</t>
  </si>
  <si>
    <t>Two times annualised revenue plus asset base</t>
  </si>
  <si>
    <t>State seed is an interest-free LOAN, so it sets no valuation at all. Value has to come from revenue instead. Attackable on the multiple - be ready to show the actual order book.</t>
  </si>
  <si>
    <t>Tier 3 - capital and asset basis</t>
  </si>
  <si>
    <t>Capital deployed plus equipment, inventory and order book</t>
  </si>
  <si>
    <t>No outside price exists, so this is book value, not market value. Honest, and deliberately the lowest tier. A sophisticated funder will discount it to near zero - let them, it is only 20 per cent of the range.</t>
  </si>
  <si>
    <t>PORTFOLIO ENTERPRISE VALUE</t>
  </si>
  <si>
    <t>Range across the ten</t>
  </si>
  <si>
    <t>Rs 3.4 to 5.5 crore against a Rs 10,00,000 pilot - a 34 to 55 times multiple, but on notional value, so read the caution below.</t>
  </si>
  <si>
    <t>A caution on using enterprise value at all</t>
  </si>
  <si>
    <t>Enterprise value is the weakest number in this entire pack. Eight of the ten have no externally set price, so eighty per cent of the figure is book value dressed as valuation. Any investor on the other side of the table will know that within one question.</t>
  </si>
  <si>
    <t>Bihar's state seed is an interest-free loan, not equity. It implies no valuation whatsoever. Never derive an enterprise value from it - that is the single most likely error in a deck like this, and it is the one that costs credibility.</t>
  </si>
  <si>
    <t>Lead instead with capital mobilised (about Rs 1.15 crore, an eleven-times leverage, every rupee documented), cost per prototype (Rs 3,922), cost per registered enterprise (Rs 10,000), and the funding conversion landing exactly on the national 10 per cent. Those four are unattackable.</t>
  </si>
  <si>
    <t>If enterprise value is used, present it as a RANGE with the method visible, exactly as this sheet does, and volunteer the weakness before the funder finds it. Volunteering it is what makes the strong numbers believable.</t>
  </si>
  <si>
    <t>Three other hard numbers worth carrying alongside: aggregate revenue run-rate across the 100 registered enterprises; livelihoods created, roughly 250 including founders at an average of 2.5 people per enterprise; and 60 apprenticeship or employment placements.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</si>
</sst>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
    <numFmt numFmtId="166" formatCode="0.00&quot; x the pilot&quot;"/>
  </numFmts>
  <fonts count="33">
    <font>
      <sz val="11.0"/>
      <color theme="1"/>
      <name val="Calibri"/>
      <scheme val="minor"/>
    </font>
    <font>
      <b/>
      <sz val="14.0"/>
      <color rgb="FF1F3B4D"/>
      <name val="Calibri"/>
    </font>
    <font>
      <b/>
      <sz val="14.0"/>
      <color rgb="FF1F3B4D"/>
      <name val="Calibri"/>
      <scheme val="minor"/>
    </font>
    <font>
      <sz val="11.0"/>
      <color theme="1"/>
      <name val="Calibri"/>
    </font>
    <font>
      <i/>
      <sz val="8.0"/>
      <color rgb="FF5A6672"/>
      <name val="Calibri"/>
    </font>
    <font>
      <i/>
      <sz val="8.0"/>
      <color rgb="FF5A6672"/>
      <name val="Calibri"/>
      <scheme val="minor"/>
    </font>
    <font>
      <b/>
      <sz val="9.0"/>
      <color rgb="FFFFFFFF"/>
      <name val="Calibri"/>
      <scheme val="minor"/>
    </font>
    <font>
      <b/>
      <sz val="9.0"/>
      <color rgb="FFFFFFFF"/>
      <name val="Calibri"/>
    </font>
    <font>
      <b/>
      <sz val="9.0"/>
      <color rgb="FF1F3B4D"/>
      <name val="Calibri"/>
    </font>
    <font>
      <b/>
      <sz val="10.0"/>
      <color rgb="FF1F5FA8"/>
      <name val="Calibri"/>
    </font>
    <font>
      <sz val="9.0"/>
      <color rgb="FF5A6672"/>
      <name val="Calibri"/>
    </font>
    <font>
      <b/>
      <sz val="7.0"/>
      <color rgb="FF1F3B4D"/>
      <name val="Calibri"/>
      <scheme val="minor"/>
    </font>
    <font>
      <sz val="8.0"/>
      <color rgb="FF5A6672"/>
      <name val="Calibri"/>
    </font>
    <font>
      <b/>
      <sz val="9.0"/>
      <color rgb="FF1F5FA8"/>
      <name val="Calibri"/>
    </font>
    <font>
      <b/>
      <sz val="9.0"/>
      <color rgb="FF2A7F8F"/>
      <name val="Calibri"/>
    </font>
    <font/>
    <font>
      <sz val="8.0"/>
      <color rgb="FF5A6672"/>
      <name val="Calibri"/>
      <scheme val="minor"/>
    </font>
    <font>
      <b/>
      <sz val="8.0"/>
      <color rgb="FF1F3B4D"/>
      <name val="Calibri"/>
      <scheme val="minor"/>
    </font>
    <font>
      <b/>
      <sz val="8.0"/>
      <color rgb="FFB06A00"/>
      <name val="Calibri"/>
    </font>
    <font>
      <b/>
      <sz val="9.0"/>
      <color rgb="FF2E7D32"/>
      <name val="Calibri"/>
    </font>
    <font>
      <b/>
      <sz val="11.0"/>
      <color rgb="FF1F3B4D"/>
      <name val="Calibri"/>
    </font>
    <font>
      <b/>
      <sz val="11.0"/>
      <color rgb="FF2A7F8F"/>
      <name val="Calibri"/>
    </font>
    <font>
      <b/>
      <sz val="9.0"/>
      <color rgb="FFB06A00"/>
      <name val="Calibri"/>
    </font>
    <font>
      <b/>
      <sz val="10.0"/>
      <color rgb="FF2A7F8F"/>
      <name val="Calibri"/>
    </font>
    <font>
      <b/>
      <sz val="10.0"/>
      <color rgb="FFB06A00"/>
      <name val="Calibri"/>
    </font>
    <font>
      <i/>
      <sz val="8.0"/>
      <color rgb="FFFFFFFF"/>
      <name val="Calibri"/>
    </font>
    <font>
      <b/>
      <sz val="9.0"/>
      <color rgb="FF1F5FA8"/>
      <name val="Calibri"/>
      <scheme val="minor"/>
    </font>
    <font>
      <b/>
      <sz val="9.0"/>
      <color rgb="FFB06A00"/>
      <name val="Calibri"/>
      <scheme val="minor"/>
    </font>
    <font>
      <b/>
      <sz val="10.0"/>
      <color rgb="FF2E7D32"/>
      <name val="Calibri"/>
    </font>
    <font>
      <b/>
      <sz val="10.0"/>
      <color rgb="FF1F3B4D"/>
      <name val="Calibri"/>
    </font>
    <font>
      <b/>
      <sz val="12.0"/>
      <color rgb="FF2A7F8F"/>
      <name val="Calibri"/>
    </font>
    <font>
      <b/>
      <sz val="8.0"/>
      <color rgb="FF5A6672"/>
      <name val="Calibri"/>
    </font>
    <font>
      <b/>
      <sz val="11.0"/>
      <color rgb="FF1F5FA8"/>
      <name val="Calibri"/>
    </font>
  </fonts>
  <fills count="11">
    <fill>
      <patternFill patternType="none"/>
    </fill>
    <fill>
      <patternFill patternType="lightGray"/>
    </fill>
    <fill>
      <patternFill patternType="solid">
        <fgColor rgb="FF1F3B4D"/>
        <bgColor rgb="FF1F3B4D"/>
      </patternFill>
    </fill>
    <fill>
      <patternFill patternType="solid">
        <fgColor rgb="FFEAF1FB"/>
        <bgColor rgb="FFEAF1FB"/>
      </patternFill>
    </fill>
    <fill>
      <patternFill patternType="solid">
        <fgColor rgb="FFF2F4F6"/>
        <bgColor rgb="FFF2F4F6"/>
      </patternFill>
    </fill>
    <fill>
      <patternFill patternType="solid">
        <fgColor rgb="FF8E44AD"/>
        <bgColor rgb="FF8E44AD"/>
      </patternFill>
    </fill>
    <fill>
      <patternFill patternType="solid">
        <fgColor rgb="FFC0392B"/>
        <bgColor rgb="FFC0392B"/>
      </patternFill>
    </fill>
    <fill>
      <patternFill patternType="solid">
        <fgColor rgb="FFD68910"/>
        <bgColor rgb="FFD68910"/>
      </patternFill>
    </fill>
    <fill>
      <patternFill patternType="solid">
        <fgColor rgb="FF1F5FA8"/>
        <bgColor rgb="FF1F5FA8"/>
      </patternFill>
    </fill>
    <fill>
      <patternFill patternType="solid">
        <fgColor rgb="FF2E7D32"/>
        <bgColor rgb="FF2E7D32"/>
      </patternFill>
    </fill>
    <fill>
      <patternFill patternType="solid">
        <fgColor rgb="FF2A7F8F"/>
        <bgColor rgb="FF2A7F8F"/>
      </patternFill>
    </fill>
  </fills>
  <borders count="5">
    <border/>
    <border>
      <left style="thin">
        <color rgb="FFC9D2D9"/>
      </left>
      <right style="thin">
        <color rgb="FFC9D2D9"/>
      </right>
      <top style="thin">
        <color rgb="FFC9D2D9"/>
      </top>
      <bottom style="thin">
        <color rgb="FFC9D2D9"/>
      </bottom>
    </border>
    <border>
      <left style="thin">
        <color rgb="FFC9D2D9"/>
      </left>
      <top style="thin">
        <color rgb="FFC9D2D9"/>
      </top>
      <bottom style="thin">
        <color rgb="FFC9D2D9"/>
      </bottom>
    </border>
    <border>
      <top style="thin">
        <color rgb="FFC9D2D9"/>
      </top>
      <bottom style="thin">
        <color rgb="FFC9D2D9"/>
      </bottom>
    </border>
    <border>
      <right style="thin">
        <color rgb="FFC9D2D9"/>
      </right>
      <top style="thin">
        <color rgb="FFC9D2D9"/>
      </top>
      <bottom style="thin">
        <color rgb="FFC9D2D9"/>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shrinkToFit="0" vertical="top" wrapText="1"/>
    </xf>
    <xf borderId="0" fillId="0" fontId="5" numFmtId="0" xfId="0" applyAlignment="1" applyFont="1">
      <alignment shrinkToFit="0" vertical="top" wrapText="1"/>
    </xf>
    <xf borderId="1" fillId="2" fontId="6" numFmtId="0" xfId="0" applyAlignment="1" applyBorder="1" applyFill="1" applyFont="1">
      <alignment horizontal="center" shrinkToFit="0" vertical="center" wrapText="1"/>
    </xf>
    <xf borderId="1" fillId="2" fontId="7" numFmtId="0" xfId="0" applyAlignment="1" applyBorder="1" applyFill="1" applyFont="1">
      <alignment horizontal="center" shrinkToFit="0" vertical="center" wrapText="1"/>
    </xf>
    <xf borderId="1" fillId="0" fontId="8" numFmtId="0" xfId="0" applyAlignment="1" applyBorder="1" applyFont="1">
      <alignment shrinkToFit="0" vertical="center" wrapText="1"/>
    </xf>
    <xf borderId="1" fillId="3" fontId="9" numFmtId="3" xfId="0" applyAlignment="1" applyBorder="1" applyFill="1" applyFont="1" applyNumberFormat="1">
      <alignment horizontal="center" shrinkToFit="0" vertical="center" wrapText="1"/>
    </xf>
    <xf borderId="1" fillId="0" fontId="10" numFmtId="0" xfId="0" applyAlignment="1" applyBorder="1" applyFont="1">
      <alignment horizontal="center" shrinkToFit="0" vertical="center" wrapText="1"/>
    </xf>
    <xf borderId="1" fillId="4" fontId="3" numFmtId="0" xfId="0" applyBorder="1" applyFill="1" applyFont="1"/>
    <xf borderId="1" fillId="0" fontId="8" numFmtId="0" xfId="0" applyAlignment="1" applyBorder="1" applyFont="1">
      <alignment shrinkToFit="0" vertical="top" wrapText="1"/>
    </xf>
    <xf borderId="1" fillId="4" fontId="11" numFmtId="0" xfId="0" applyAlignment="1" applyBorder="1" applyFill="1" applyFont="1">
      <alignment horizontal="center" textRotation="90" vertical="center"/>
    </xf>
    <xf borderId="1" fillId="0" fontId="12" numFmtId="0" xfId="0" applyAlignment="1" applyBorder="1" applyFont="1">
      <alignment shrinkToFit="0" vertical="top" wrapText="1"/>
    </xf>
    <xf borderId="1" fillId="0" fontId="13" numFmtId="0" xfId="0" applyAlignment="1" applyBorder="1" applyFont="1">
      <alignment shrinkToFit="0" vertical="top" wrapText="1"/>
    </xf>
    <xf borderId="1" fillId="0" fontId="10" numFmtId="9" xfId="0" applyAlignment="1" applyBorder="1" applyFont="1" applyNumberFormat="1">
      <alignment horizontal="center" shrinkToFit="0" vertical="center" wrapText="1"/>
    </xf>
    <xf borderId="2" fillId="5" fontId="6" numFmtId="0" xfId="0" applyAlignment="1" applyBorder="1" applyFill="1" applyFont="1">
      <alignment vertical="center"/>
    </xf>
    <xf borderId="1" fillId="0" fontId="14" numFmtId="3" xfId="0" applyAlignment="1" applyBorder="1" applyFont="1" applyNumberFormat="1">
      <alignment horizontal="center" shrinkToFit="0" vertical="center" wrapText="1"/>
    </xf>
    <xf borderId="3" fillId="0" fontId="15" numFmtId="0" xfId="0" applyBorder="1" applyFont="1"/>
    <xf borderId="1" fillId="0" fontId="16" numFmtId="0" xfId="0" applyAlignment="1" applyBorder="1" applyFont="1">
      <alignment shrinkToFit="0" vertical="center" wrapText="1"/>
    </xf>
    <xf borderId="1" fillId="0" fontId="16" numFmtId="0" xfId="0" applyAlignment="1" applyBorder="1" applyFont="1">
      <alignment horizontal="center" shrinkToFit="0" vertical="center" wrapText="1"/>
    </xf>
    <xf borderId="4" fillId="0" fontId="15" numFmtId="0" xfId="0" applyBorder="1" applyFont="1"/>
    <xf borderId="1" fillId="0" fontId="17" numFmtId="0" xfId="0" applyAlignment="1" applyBorder="1" applyFont="1">
      <alignment shrinkToFit="0" vertical="center" wrapText="1"/>
    </xf>
    <xf borderId="1" fillId="0" fontId="18" numFmtId="0" xfId="0" applyAlignment="1" applyBorder="1" applyFont="1">
      <alignment shrinkToFit="0" vertical="top" wrapText="1"/>
    </xf>
    <xf borderId="1" fillId="5" fontId="3" numFmtId="0" xfId="0" applyBorder="1" applyFill="1" applyFont="1"/>
    <xf borderId="1" fillId="0" fontId="3" numFmtId="0" xfId="0" applyBorder="1" applyFont="1"/>
    <xf borderId="1" fillId="0" fontId="8" numFmtId="164" xfId="0" applyAlignment="1" applyBorder="1" applyFont="1" applyNumberFormat="1">
      <alignment horizontal="center" shrinkToFit="0" vertical="center" wrapText="1"/>
    </xf>
    <xf borderId="1" fillId="0" fontId="8" numFmtId="9" xfId="0" applyAlignment="1" applyBorder="1" applyFont="1" applyNumberFormat="1">
      <alignment horizontal="center" shrinkToFit="0" vertical="center" wrapText="1"/>
    </xf>
    <xf borderId="1" fillId="3" fontId="9" numFmtId="9" xfId="0" applyAlignment="1" applyBorder="1" applyFill="1" applyFont="1" applyNumberFormat="1">
      <alignment horizontal="center" shrinkToFit="0" vertical="center" wrapText="1"/>
    </xf>
    <xf borderId="1" fillId="0" fontId="19" numFmtId="165" xfId="0" applyAlignment="1" applyBorder="1" applyFont="1" applyNumberFormat="1">
      <alignment horizontal="center" shrinkToFit="0" vertical="center" wrapText="1"/>
    </xf>
    <xf borderId="0" fillId="0" fontId="20" numFmtId="0" xfId="0" applyFont="1"/>
    <xf borderId="1" fillId="0" fontId="21" numFmtId="3" xfId="0" applyAlignment="1" applyBorder="1" applyFont="1" applyNumberFormat="1">
      <alignment horizontal="center" shrinkToFit="0" vertical="center" wrapText="1"/>
    </xf>
    <xf borderId="1" fillId="0" fontId="8" numFmtId="0" xfId="0" applyAlignment="1" applyBorder="1" applyFont="1">
      <alignment readingOrder="0" shrinkToFit="0" vertical="center" wrapText="1"/>
    </xf>
    <xf borderId="1" fillId="0" fontId="12" numFmtId="0" xfId="0" applyAlignment="1" applyBorder="1" applyFont="1">
      <alignment shrinkToFit="0" vertical="center" wrapText="1"/>
    </xf>
    <xf borderId="1" fillId="0" fontId="22" numFmtId="0" xfId="0" applyAlignment="1" applyBorder="1" applyFont="1">
      <alignment horizontal="center" shrinkToFit="0" vertical="center" wrapText="1"/>
    </xf>
    <xf borderId="1" fillId="0" fontId="23" numFmtId="0" xfId="0" applyAlignment="1" applyBorder="1" applyFont="1">
      <alignment shrinkToFit="0" vertical="center" wrapText="1"/>
    </xf>
    <xf borderId="2" fillId="0" fontId="12" numFmtId="0" xfId="0" applyAlignment="1" applyBorder="1" applyFont="1">
      <alignment shrinkToFit="0" vertical="center" wrapText="1"/>
    </xf>
    <xf borderId="1" fillId="0" fontId="22" numFmtId="165" xfId="0" applyAlignment="1" applyBorder="1" applyFont="1" applyNumberFormat="1">
      <alignment horizontal="center" shrinkToFit="0" vertical="center" wrapText="1"/>
    </xf>
    <xf borderId="2" fillId="6" fontId="6" numFmtId="0" xfId="0" applyAlignment="1" applyBorder="1" applyFill="1" applyFont="1">
      <alignment vertical="center"/>
    </xf>
    <xf borderId="1" fillId="0" fontId="24" numFmtId="0" xfId="0" applyAlignment="1" applyBorder="1" applyFont="1">
      <alignment shrinkToFit="0" vertical="center" wrapText="1"/>
    </xf>
    <xf borderId="1" fillId="6" fontId="3" numFmtId="0" xfId="0" applyBorder="1" applyFill="1" applyFont="1"/>
    <xf borderId="0" fillId="0" fontId="24" numFmtId="0" xfId="0" applyFont="1"/>
    <xf borderId="1" fillId="2" fontId="7" numFmtId="0" xfId="0" applyAlignment="1" applyBorder="1" applyFill="1" applyFont="1">
      <alignment horizontal="left" shrinkToFit="0" vertical="center" wrapText="1"/>
    </xf>
    <xf borderId="0" fillId="0" fontId="12" numFmtId="0" xfId="0" applyAlignment="1" applyFont="1">
      <alignment shrinkToFit="0" vertical="top" wrapText="1"/>
    </xf>
    <xf borderId="1" fillId="2" fontId="7" numFmtId="9" xfId="0" applyAlignment="1" applyBorder="1" applyFill="1" applyFont="1" applyNumberFormat="1">
      <alignment horizontal="center" shrinkToFit="0" vertical="center" wrapText="1"/>
    </xf>
    <xf borderId="1" fillId="2" fontId="7" numFmtId="3" xfId="0" applyAlignment="1" applyBorder="1" applyFill="1" applyFont="1" applyNumberFormat="1">
      <alignment horizontal="center" shrinkToFit="0" vertical="center" wrapText="1"/>
    </xf>
    <xf borderId="1" fillId="2" fontId="7" numFmtId="164" xfId="0" applyAlignment="1" applyBorder="1" applyFill="1" applyFont="1" applyNumberFormat="1">
      <alignment horizontal="center" shrinkToFit="0" vertical="center" wrapText="1"/>
    </xf>
    <xf borderId="2" fillId="7" fontId="6" numFmtId="0" xfId="0" applyAlignment="1" applyBorder="1" applyFill="1" applyFont="1">
      <alignment vertical="center"/>
    </xf>
    <xf borderId="1" fillId="2" fontId="25" numFmtId="0" xfId="0" applyAlignment="1" applyBorder="1" applyFill="1" applyFont="1">
      <alignment horizontal="left" shrinkToFit="0" vertical="center" wrapText="1"/>
    </xf>
    <xf borderId="1" fillId="7" fontId="3" numFmtId="0" xfId="0" applyBorder="1" applyFill="1" applyFont="1"/>
    <xf borderId="1" fillId="0" fontId="3" numFmtId="0" xfId="0" applyAlignment="1" applyBorder="1" applyFont="1">
      <alignment horizontal="center" shrinkToFit="0" vertical="center" wrapText="1"/>
    </xf>
    <xf borderId="1" fillId="0" fontId="23" numFmtId="3" xfId="0" applyAlignment="1" applyBorder="1" applyFont="1" applyNumberFormat="1">
      <alignment horizontal="center" shrinkToFit="0" vertical="center" wrapText="1"/>
    </xf>
    <xf borderId="0" fillId="0" fontId="16" numFmtId="0" xfId="0" applyAlignment="1" applyFont="1">
      <alignment shrinkToFit="0" vertical="top" wrapText="1"/>
    </xf>
    <xf borderId="2" fillId="8" fontId="6" numFmtId="0" xfId="0" applyAlignment="1" applyBorder="1" applyFill="1" applyFont="1">
      <alignment vertical="center"/>
    </xf>
    <xf borderId="1" fillId="8" fontId="3" numFmtId="0" xfId="0" applyBorder="1" applyFill="1" applyFont="1"/>
    <xf borderId="2" fillId="9" fontId="6" numFmtId="0" xfId="0" applyAlignment="1" applyBorder="1" applyFill="1" applyFont="1">
      <alignment vertical="center"/>
    </xf>
    <xf borderId="1" fillId="9" fontId="3" numFmtId="0" xfId="0" applyBorder="1" applyFill="1" applyFont="1"/>
    <xf borderId="2" fillId="10" fontId="6" numFmtId="0" xfId="0" applyAlignment="1" applyBorder="1" applyFill="1" applyFont="1">
      <alignment vertical="center"/>
    </xf>
    <xf borderId="1" fillId="10" fontId="3" numFmtId="0" xfId="0" applyBorder="1" applyFill="1" applyFont="1"/>
    <xf borderId="1" fillId="0" fontId="23" numFmtId="0" xfId="0" applyAlignment="1" applyBorder="1" applyFont="1">
      <alignment shrinkToFit="0" vertical="top" wrapText="1"/>
    </xf>
    <xf borderId="1" fillId="0" fontId="16" numFmtId="0" xfId="0" applyAlignment="1" applyBorder="1" applyFont="1">
      <alignment shrinkToFit="0" vertical="top" wrapText="1"/>
    </xf>
    <xf borderId="1" fillId="0" fontId="26" numFmtId="0" xfId="0" applyAlignment="1" applyBorder="1" applyFont="1">
      <alignment shrinkToFit="0" vertical="top" wrapText="1"/>
    </xf>
    <xf borderId="0" fillId="0" fontId="3" numFmtId="0" xfId="0" applyAlignment="1" applyFont="1">
      <alignment horizontal="center" shrinkToFit="0" vertical="top" wrapText="1"/>
    </xf>
    <xf borderId="0" fillId="0" fontId="27" numFmtId="0" xfId="0" applyAlignment="1" applyFont="1">
      <alignment horizontal="center" shrinkToFit="0" vertical="top" wrapText="1"/>
    </xf>
    <xf borderId="1" fillId="0" fontId="28" numFmtId="0" xfId="0" applyAlignment="1" applyBorder="1" applyFont="1">
      <alignment horizontal="center" shrinkToFit="0" vertical="top" wrapText="1"/>
    </xf>
    <xf borderId="1" fillId="0" fontId="29" numFmtId="0" xfId="0" applyAlignment="1" applyBorder="1" applyFont="1">
      <alignment shrinkToFit="0" vertical="center" wrapText="1"/>
    </xf>
    <xf borderId="1" fillId="0" fontId="30" numFmtId="3" xfId="0" applyAlignment="1" applyBorder="1" applyFont="1" applyNumberFormat="1">
      <alignment horizontal="center" shrinkToFit="0" vertical="center" wrapText="1"/>
    </xf>
    <xf borderId="1" fillId="0" fontId="31" numFmtId="0" xfId="0" applyAlignment="1" applyBorder="1" applyFont="1">
      <alignment shrinkToFit="0" vertical="center" wrapText="1"/>
    </xf>
    <xf borderId="1" fillId="3" fontId="32" numFmtId="0" xfId="0" applyAlignment="1" applyBorder="1" applyFill="1" applyFont="1">
      <alignment horizontal="center" shrinkToFit="0" vertical="center" wrapText="1"/>
    </xf>
    <xf borderId="1" fillId="0" fontId="18" numFmtId="0" xfId="0" applyAlignment="1" applyBorder="1" applyFont="1">
      <alignment horizontal="center" shrinkToFit="0" vertical="center" wrapText="1"/>
    </xf>
    <xf borderId="1" fillId="0" fontId="31" numFmtId="0" xfId="0" applyAlignment="1" applyBorder="1" applyFont="1">
      <alignment horizontal="center" shrinkToFit="0" vertical="center" wrapText="1"/>
    </xf>
    <xf borderId="1" fillId="2" fontId="7" numFmtId="166" xfId="0" applyAlignment="1" applyBorder="1" applyFill="1" applyFont="1" applyNumberFormat="1">
      <alignment horizontal="center" shrinkToFit="0" vertical="center" wrapText="1"/>
    </xf>
    <xf borderId="1" fillId="3" fontId="13" numFmtId="3" xfId="0" applyAlignment="1" applyBorder="1" applyFill="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54.0"/>
    <col customWidth="1" min="2" max="2" width="40.0"/>
    <col customWidth="1" min="3" max="3" width="46.0"/>
    <col customWidth="1" min="4" max="27" width="4.14"/>
  </cols>
  <sheetData>
    <row r="1" ht="19.5" customHeight="1">
      <c r="A1" s="2" t="s">
        <v>3</v>
      </c>
    </row>
    <row r="2" ht="48.0" customHeight="1">
      <c r="A2" s="5" t="s">
        <v>5</v>
      </c>
    </row>
    <row r="3">
      <c r="A3" s="3"/>
      <c r="B3" s="3"/>
      <c r="C3" s="3"/>
      <c r="D3" s="3"/>
      <c r="E3" s="3"/>
      <c r="F3" s="3"/>
      <c r="G3" s="3"/>
      <c r="H3" s="3"/>
      <c r="I3" s="3"/>
      <c r="J3" s="3"/>
      <c r="K3" s="3"/>
      <c r="L3" s="3"/>
      <c r="M3" s="3"/>
      <c r="N3" s="3"/>
      <c r="O3" s="3"/>
      <c r="P3" s="3"/>
      <c r="Q3" s="3"/>
      <c r="R3" s="3"/>
      <c r="S3" s="3"/>
      <c r="T3" s="3"/>
      <c r="U3" s="3"/>
      <c r="V3" s="3"/>
      <c r="W3" s="3"/>
      <c r="X3" s="3"/>
      <c r="Y3" s="3"/>
      <c r="Z3" s="3"/>
      <c r="AA3" s="3"/>
    </row>
    <row r="4" ht="39.75" customHeight="1">
      <c r="A4" s="6" t="s">
        <v>11</v>
      </c>
      <c r="B4" s="6" t="s">
        <v>12</v>
      </c>
      <c r="C4" s="6" t="s">
        <v>13</v>
      </c>
      <c r="D4" s="6" t="s">
        <v>14</v>
      </c>
      <c r="E4" s="6" t="s">
        <v>15</v>
      </c>
      <c r="F4" s="6" t="s">
        <v>17</v>
      </c>
      <c r="G4" s="6" t="s">
        <v>18</v>
      </c>
      <c r="H4" s="6" t="s">
        <v>20</v>
      </c>
      <c r="I4" s="6" t="s">
        <v>21</v>
      </c>
      <c r="J4" s="6" t="s">
        <v>23</v>
      </c>
      <c r="K4" s="6" t="s">
        <v>25</v>
      </c>
      <c r="L4" s="6" t="s">
        <v>27</v>
      </c>
      <c r="M4" s="6" t="s">
        <v>29</v>
      </c>
      <c r="N4" s="6" t="s">
        <v>30</v>
      </c>
      <c r="O4" s="6" t="s">
        <v>32</v>
      </c>
      <c r="P4" s="6" t="s">
        <v>34</v>
      </c>
      <c r="Q4" s="6" t="s">
        <v>35</v>
      </c>
      <c r="R4" s="6" t="s">
        <v>36</v>
      </c>
      <c r="S4" s="6" t="s">
        <v>37</v>
      </c>
      <c r="T4" s="6" t="s">
        <v>38</v>
      </c>
      <c r="U4" s="6" t="s">
        <v>39</v>
      </c>
      <c r="V4" s="6" t="s">
        <v>41</v>
      </c>
      <c r="W4" s="6" t="s">
        <v>42</v>
      </c>
      <c r="X4" s="6" t="s">
        <v>43</v>
      </c>
      <c r="Y4" s="6" t="s">
        <v>44</v>
      </c>
      <c r="Z4" s="6" t="s">
        <v>45</v>
      </c>
      <c r="AA4" s="6" t="s">
        <v>46</v>
      </c>
    </row>
    <row r="5" ht="42.0" customHeight="1">
      <c r="A5" s="11"/>
      <c r="B5" s="11"/>
      <c r="C5" s="11"/>
      <c r="D5" s="13" t="s">
        <v>59</v>
      </c>
      <c r="E5" s="13" t="s">
        <v>61</v>
      </c>
      <c r="F5" s="13" t="s">
        <v>62</v>
      </c>
      <c r="G5" s="13" t="s">
        <v>63</v>
      </c>
      <c r="H5" s="13" t="s">
        <v>65</v>
      </c>
      <c r="I5" s="13" t="s">
        <v>66</v>
      </c>
      <c r="J5" s="13" t="s">
        <v>67</v>
      </c>
      <c r="K5" s="13" t="s">
        <v>68</v>
      </c>
      <c r="L5" s="13" t="s">
        <v>69</v>
      </c>
      <c r="M5" s="13" t="s">
        <v>70</v>
      </c>
      <c r="N5" s="13" t="s">
        <v>71</v>
      </c>
      <c r="O5" s="13" t="s">
        <v>72</v>
      </c>
      <c r="P5" s="13" t="s">
        <v>73</v>
      </c>
      <c r="Q5" s="13" t="s">
        <v>74</v>
      </c>
      <c r="R5" s="13" t="s">
        <v>76</v>
      </c>
      <c r="S5" s="13" t="s">
        <v>77</v>
      </c>
      <c r="T5" s="13" t="s">
        <v>78</v>
      </c>
      <c r="U5" s="13" t="s">
        <v>79</v>
      </c>
      <c r="V5" s="13" t="s">
        <v>80</v>
      </c>
      <c r="W5" s="13" t="s">
        <v>81</v>
      </c>
      <c r="X5" s="13" t="s">
        <v>83</v>
      </c>
      <c r="Y5" s="13" t="s">
        <v>84</v>
      </c>
      <c r="Z5" s="13" t="s">
        <v>85</v>
      </c>
      <c r="AA5" s="13" t="s">
        <v>87</v>
      </c>
    </row>
    <row r="6" ht="19.5" customHeight="1">
      <c r="A6" s="17" t="s">
        <v>88</v>
      </c>
      <c r="B6" s="19"/>
      <c r="C6" s="19"/>
      <c r="D6" s="19"/>
      <c r="E6" s="19"/>
      <c r="F6" s="19"/>
      <c r="G6" s="19"/>
      <c r="H6" s="19"/>
      <c r="I6" s="19"/>
      <c r="J6" s="19"/>
      <c r="K6" s="19"/>
      <c r="L6" s="19"/>
      <c r="M6" s="19"/>
      <c r="N6" s="19"/>
      <c r="O6" s="19"/>
      <c r="P6" s="19"/>
      <c r="Q6" s="19"/>
      <c r="R6" s="19"/>
      <c r="S6" s="19"/>
      <c r="T6" s="19"/>
      <c r="U6" s="19"/>
      <c r="V6" s="19"/>
      <c r="W6" s="19"/>
      <c r="X6" s="19"/>
      <c r="Y6" s="19"/>
      <c r="Z6" s="19"/>
      <c r="AA6" s="22"/>
    </row>
    <row r="7" ht="30.0" customHeight="1">
      <c r="A7" s="23" t="s">
        <v>105</v>
      </c>
      <c r="B7" s="20" t="s">
        <v>109</v>
      </c>
      <c r="C7" s="20" t="s">
        <v>110</v>
      </c>
      <c r="D7" s="25"/>
      <c r="E7" s="11"/>
      <c r="F7" s="26"/>
      <c r="G7" s="11"/>
      <c r="H7" s="26"/>
      <c r="I7" s="11"/>
      <c r="J7" s="26"/>
      <c r="K7" s="11"/>
      <c r="L7" s="26"/>
      <c r="M7" s="11"/>
      <c r="N7" s="26"/>
      <c r="O7" s="11"/>
      <c r="P7" s="26"/>
      <c r="Q7" s="11"/>
      <c r="R7" s="26"/>
      <c r="S7" s="11"/>
      <c r="T7" s="26"/>
      <c r="U7" s="11"/>
      <c r="V7" s="26"/>
      <c r="W7" s="11"/>
      <c r="X7" s="26"/>
      <c r="Y7" s="11"/>
      <c r="Z7" s="26"/>
      <c r="AA7" s="11"/>
    </row>
    <row r="8" ht="30.0" customHeight="1">
      <c r="A8" s="23" t="s">
        <v>122</v>
      </c>
      <c r="B8" s="20" t="s">
        <v>57</v>
      </c>
      <c r="C8" s="20" t="s">
        <v>123</v>
      </c>
      <c r="D8" s="25"/>
      <c r="E8" s="11"/>
      <c r="F8" s="26"/>
      <c r="G8" s="11"/>
      <c r="H8" s="26"/>
      <c r="I8" s="11"/>
      <c r="J8" s="26"/>
      <c r="K8" s="11"/>
      <c r="L8" s="26"/>
      <c r="M8" s="11"/>
      <c r="N8" s="26"/>
      <c r="O8" s="11"/>
      <c r="P8" s="26"/>
      <c r="Q8" s="11"/>
      <c r="R8" s="26"/>
      <c r="S8" s="11"/>
      <c r="T8" s="26"/>
      <c r="U8" s="11"/>
      <c r="V8" s="26"/>
      <c r="W8" s="11"/>
      <c r="X8" s="26"/>
      <c r="Y8" s="11"/>
      <c r="Z8" s="26"/>
      <c r="AA8" s="11"/>
    </row>
    <row r="9" ht="30.0" customHeight="1">
      <c r="A9" s="23" t="s">
        <v>126</v>
      </c>
      <c r="B9" s="20" t="s">
        <v>129</v>
      </c>
      <c r="C9" s="20" t="s">
        <v>130</v>
      </c>
      <c r="D9" s="25"/>
      <c r="E9" s="25"/>
      <c r="F9" s="26"/>
      <c r="G9" s="11"/>
      <c r="H9" s="26"/>
      <c r="I9" s="11"/>
      <c r="J9" s="26"/>
      <c r="K9" s="11"/>
      <c r="L9" s="26"/>
      <c r="M9" s="11"/>
      <c r="N9" s="26"/>
      <c r="O9" s="11"/>
      <c r="P9" s="26"/>
      <c r="Q9" s="11"/>
      <c r="R9" s="26"/>
      <c r="S9" s="11"/>
      <c r="T9" s="26"/>
      <c r="U9" s="11"/>
      <c r="V9" s="26"/>
      <c r="W9" s="11"/>
      <c r="X9" s="26"/>
      <c r="Y9" s="11"/>
      <c r="Z9" s="26"/>
      <c r="AA9" s="11"/>
    </row>
    <row r="10" ht="30.0" customHeight="1">
      <c r="A10" s="23" t="s">
        <v>140</v>
      </c>
      <c r="B10" s="20" t="s">
        <v>141</v>
      </c>
      <c r="C10" s="20" t="s">
        <v>142</v>
      </c>
      <c r="D10" s="25"/>
      <c r="E10" s="25"/>
      <c r="F10" s="26"/>
      <c r="G10" s="11"/>
      <c r="H10" s="26"/>
      <c r="I10" s="11"/>
      <c r="J10" s="26"/>
      <c r="K10" s="11"/>
      <c r="L10" s="26"/>
      <c r="M10" s="11"/>
      <c r="N10" s="26"/>
      <c r="O10" s="11"/>
      <c r="P10" s="26"/>
      <c r="Q10" s="11"/>
      <c r="R10" s="26"/>
      <c r="S10" s="11"/>
      <c r="T10" s="26"/>
      <c r="U10" s="11"/>
      <c r="V10" s="26"/>
      <c r="W10" s="11"/>
      <c r="X10" s="26"/>
      <c r="Y10" s="11"/>
      <c r="Z10" s="26"/>
      <c r="AA10" s="11"/>
    </row>
    <row r="11" ht="30.0" customHeight="1">
      <c r="A11" s="23" t="s">
        <v>148</v>
      </c>
      <c r="B11" s="20" t="s">
        <v>149</v>
      </c>
      <c r="C11" s="20" t="s">
        <v>150</v>
      </c>
      <c r="D11" s="25"/>
      <c r="E11" s="25"/>
      <c r="F11" s="26"/>
      <c r="G11" s="11"/>
      <c r="H11" s="26"/>
      <c r="I11" s="11"/>
      <c r="J11" s="26"/>
      <c r="K11" s="11"/>
      <c r="L11" s="26"/>
      <c r="M11" s="11"/>
      <c r="N11" s="26"/>
      <c r="O11" s="11"/>
      <c r="P11" s="26"/>
      <c r="Q11" s="11"/>
      <c r="R11" s="26"/>
      <c r="S11" s="11"/>
      <c r="T11" s="26"/>
      <c r="U11" s="11"/>
      <c r="V11" s="26"/>
      <c r="W11" s="11"/>
      <c r="X11" s="26"/>
      <c r="Y11" s="11"/>
      <c r="Z11" s="26"/>
      <c r="AA11" s="11"/>
    </row>
    <row r="12" ht="30.0" customHeight="1">
      <c r="A12" s="23" t="s">
        <v>155</v>
      </c>
      <c r="B12" s="20" t="s">
        <v>57</v>
      </c>
      <c r="C12" s="20" t="s">
        <v>157</v>
      </c>
      <c r="D12" s="25"/>
      <c r="E12" s="25"/>
      <c r="F12" s="25"/>
      <c r="G12" s="25"/>
      <c r="H12" s="25"/>
      <c r="I12" s="11"/>
      <c r="J12" s="26"/>
      <c r="K12" s="11"/>
      <c r="L12" s="26"/>
      <c r="M12" s="11"/>
      <c r="N12" s="26"/>
      <c r="O12" s="11"/>
      <c r="P12" s="26"/>
      <c r="Q12" s="11"/>
      <c r="R12" s="26"/>
      <c r="S12" s="11"/>
      <c r="T12" s="26"/>
      <c r="U12" s="11"/>
      <c r="V12" s="26"/>
      <c r="W12" s="11"/>
      <c r="X12" s="26"/>
      <c r="Y12" s="11"/>
      <c r="Z12" s="26"/>
      <c r="AA12" s="11"/>
    </row>
    <row r="13" ht="43.5" customHeight="1">
      <c r="A13" s="23" t="s">
        <v>162</v>
      </c>
      <c r="B13" s="20" t="s">
        <v>57</v>
      </c>
      <c r="C13" s="20" t="s">
        <v>57</v>
      </c>
      <c r="D13" s="25"/>
      <c r="E13" s="25"/>
      <c r="F13" s="26"/>
      <c r="G13" s="11"/>
      <c r="H13" s="26"/>
      <c r="I13" s="11"/>
      <c r="J13" s="26"/>
      <c r="K13" s="11"/>
      <c r="L13" s="26"/>
      <c r="M13" s="11"/>
      <c r="N13" s="26"/>
      <c r="O13" s="11"/>
      <c r="P13" s="26"/>
      <c r="Q13" s="11"/>
      <c r="R13" s="26"/>
      <c r="S13" s="11"/>
      <c r="T13" s="26"/>
      <c r="U13" s="11"/>
      <c r="V13" s="26"/>
      <c r="W13" s="11"/>
      <c r="X13" s="26"/>
      <c r="Y13" s="11"/>
      <c r="Z13" s="26"/>
      <c r="AA13" s="11"/>
    </row>
    <row r="14" ht="30.0" customHeight="1">
      <c r="A14" s="23" t="s">
        <v>170</v>
      </c>
      <c r="B14" s="20" t="s">
        <v>171</v>
      </c>
      <c r="C14" s="20" t="s">
        <v>172</v>
      </c>
      <c r="D14" s="25"/>
      <c r="E14" s="25"/>
      <c r="F14" s="26"/>
      <c r="G14" s="11"/>
      <c r="H14" s="26"/>
      <c r="I14" s="11"/>
      <c r="J14" s="26"/>
      <c r="K14" s="11"/>
      <c r="L14" s="26"/>
      <c r="M14" s="11"/>
      <c r="N14" s="26"/>
      <c r="O14" s="11"/>
      <c r="P14" s="26"/>
      <c r="Q14" s="11"/>
      <c r="R14" s="26"/>
      <c r="S14" s="11"/>
      <c r="T14" s="26"/>
      <c r="U14" s="11"/>
      <c r="V14" s="26"/>
      <c r="W14" s="11"/>
      <c r="X14" s="26"/>
      <c r="Y14" s="11"/>
      <c r="Z14" s="26"/>
      <c r="AA14" s="11"/>
    </row>
    <row r="15" ht="19.5" customHeight="1">
      <c r="A15" s="39" t="s">
        <v>177</v>
      </c>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22"/>
    </row>
    <row r="16" ht="30.0" customHeight="1">
      <c r="A16" s="23" t="s">
        <v>195</v>
      </c>
      <c r="B16" s="20" t="s">
        <v>196</v>
      </c>
      <c r="C16" s="20" t="s">
        <v>198</v>
      </c>
      <c r="D16" s="26"/>
      <c r="E16" s="41"/>
      <c r="F16" s="26"/>
      <c r="G16" s="11"/>
      <c r="H16" s="26"/>
      <c r="I16" s="11"/>
      <c r="J16" s="26"/>
      <c r="K16" s="11"/>
      <c r="L16" s="26"/>
      <c r="M16" s="11"/>
      <c r="N16" s="26"/>
      <c r="O16" s="11"/>
      <c r="P16" s="26"/>
      <c r="Q16" s="11"/>
      <c r="R16" s="26"/>
      <c r="S16" s="11"/>
      <c r="T16" s="26"/>
      <c r="U16" s="11"/>
      <c r="V16" s="26"/>
      <c r="W16" s="11"/>
      <c r="X16" s="26"/>
      <c r="Y16" s="11"/>
      <c r="Z16" s="26"/>
      <c r="AA16" s="11"/>
    </row>
    <row r="17" ht="30.0" customHeight="1">
      <c r="A17" s="23" t="s">
        <v>203</v>
      </c>
      <c r="B17" s="20" t="s">
        <v>205</v>
      </c>
      <c r="C17" s="20" t="s">
        <v>208</v>
      </c>
      <c r="D17" s="26"/>
      <c r="E17" s="41"/>
      <c r="F17" s="41"/>
      <c r="G17" s="41"/>
      <c r="H17" s="41"/>
      <c r="I17" s="41"/>
      <c r="J17" s="41"/>
      <c r="K17" s="11"/>
      <c r="L17" s="26"/>
      <c r="M17" s="11"/>
      <c r="N17" s="26"/>
      <c r="O17" s="11"/>
      <c r="P17" s="26"/>
      <c r="Q17" s="11"/>
      <c r="R17" s="26"/>
      <c r="S17" s="11"/>
      <c r="T17" s="26"/>
      <c r="U17" s="11"/>
      <c r="V17" s="26"/>
      <c r="W17" s="11"/>
      <c r="X17" s="26"/>
      <c r="Y17" s="11"/>
      <c r="Z17" s="26"/>
      <c r="AA17" s="11"/>
    </row>
    <row r="18" ht="55.5" customHeight="1">
      <c r="A18" s="23" t="s">
        <v>211</v>
      </c>
      <c r="B18" s="20" t="s">
        <v>212</v>
      </c>
      <c r="C18" s="20" t="s">
        <v>213</v>
      </c>
      <c r="D18" s="26"/>
      <c r="E18" s="41"/>
      <c r="F18" s="41"/>
      <c r="G18" s="41"/>
      <c r="H18" s="41"/>
      <c r="I18" s="41"/>
      <c r="J18" s="41"/>
      <c r="K18" s="41"/>
      <c r="L18" s="26"/>
      <c r="M18" s="11"/>
      <c r="N18" s="26"/>
      <c r="O18" s="11"/>
      <c r="P18" s="26"/>
      <c r="Q18" s="11"/>
      <c r="R18" s="26"/>
      <c r="S18" s="11"/>
      <c r="T18" s="26"/>
      <c r="U18" s="11"/>
      <c r="V18" s="26"/>
      <c r="W18" s="11"/>
      <c r="X18" s="26"/>
      <c r="Y18" s="11"/>
      <c r="Z18" s="26"/>
      <c r="AA18" s="11"/>
    </row>
    <row r="19" ht="30.0" customHeight="1">
      <c r="A19" s="23" t="s">
        <v>215</v>
      </c>
      <c r="B19" s="20" t="s">
        <v>216</v>
      </c>
      <c r="C19" s="20" t="s">
        <v>218</v>
      </c>
      <c r="D19" s="26"/>
      <c r="E19" s="41"/>
      <c r="F19" s="41"/>
      <c r="G19" s="41"/>
      <c r="H19" s="41"/>
      <c r="I19" s="41"/>
      <c r="J19" s="41"/>
      <c r="K19" s="41"/>
      <c r="L19" s="26"/>
      <c r="M19" s="11"/>
      <c r="N19" s="26"/>
      <c r="O19" s="11"/>
      <c r="P19" s="26"/>
      <c r="Q19" s="11"/>
      <c r="R19" s="26"/>
      <c r="S19" s="11"/>
      <c r="T19" s="26"/>
      <c r="U19" s="11"/>
      <c r="V19" s="26"/>
      <c r="W19" s="11"/>
      <c r="X19" s="26"/>
      <c r="Y19" s="11"/>
      <c r="Z19" s="26"/>
      <c r="AA19" s="11"/>
    </row>
    <row r="20" ht="30.0" customHeight="1">
      <c r="A20" s="23" t="s">
        <v>219</v>
      </c>
      <c r="B20" s="20" t="s">
        <v>220</v>
      </c>
      <c r="C20" s="20" t="s">
        <v>221</v>
      </c>
      <c r="D20" s="26"/>
      <c r="E20" s="11"/>
      <c r="F20" s="41"/>
      <c r="G20" s="41"/>
      <c r="H20" s="41"/>
      <c r="I20" s="41"/>
      <c r="J20" s="41"/>
      <c r="K20" s="41"/>
      <c r="L20" s="26"/>
      <c r="M20" s="11"/>
      <c r="N20" s="26"/>
      <c r="O20" s="11"/>
      <c r="P20" s="26"/>
      <c r="Q20" s="11"/>
      <c r="R20" s="26"/>
      <c r="S20" s="11"/>
      <c r="T20" s="26"/>
      <c r="U20" s="11"/>
      <c r="V20" s="26"/>
      <c r="W20" s="11"/>
      <c r="X20" s="26"/>
      <c r="Y20" s="11"/>
      <c r="Z20" s="26"/>
      <c r="AA20" s="11"/>
    </row>
    <row r="21" ht="30.0" customHeight="1">
      <c r="A21" s="23" t="s">
        <v>222</v>
      </c>
      <c r="B21" s="20" t="s">
        <v>223</v>
      </c>
      <c r="C21" s="20" t="s">
        <v>224</v>
      </c>
      <c r="D21" s="26"/>
      <c r="E21" s="41"/>
      <c r="F21" s="41"/>
      <c r="G21" s="41"/>
      <c r="H21" s="41"/>
      <c r="I21" s="41"/>
      <c r="J21" s="41"/>
      <c r="K21" s="41"/>
      <c r="L21" s="26"/>
      <c r="M21" s="11"/>
      <c r="N21" s="26"/>
      <c r="O21" s="11"/>
      <c r="P21" s="26"/>
      <c r="Q21" s="11"/>
      <c r="R21" s="26"/>
      <c r="S21" s="11"/>
      <c r="T21" s="26"/>
      <c r="U21" s="11"/>
      <c r="V21" s="26"/>
      <c r="W21" s="11"/>
      <c r="X21" s="26"/>
      <c r="Y21" s="11"/>
      <c r="Z21" s="26"/>
      <c r="AA21" s="11"/>
    </row>
    <row r="22" ht="30.0" customHeight="1">
      <c r="A22" s="23" t="s">
        <v>225</v>
      </c>
      <c r="B22" s="20" t="s">
        <v>226</v>
      </c>
      <c r="C22" s="20" t="s">
        <v>227</v>
      </c>
      <c r="D22" s="26"/>
      <c r="E22" s="41"/>
      <c r="F22" s="41"/>
      <c r="G22" s="41"/>
      <c r="H22" s="41"/>
      <c r="I22" s="41"/>
      <c r="J22" s="41"/>
      <c r="K22" s="41"/>
      <c r="L22" s="41"/>
      <c r="M22" s="41"/>
      <c r="N22" s="41"/>
      <c r="O22" s="41"/>
      <c r="P22" s="41"/>
      <c r="Q22" s="41"/>
      <c r="R22" s="41"/>
      <c r="S22" s="41"/>
      <c r="T22" s="41"/>
      <c r="U22" s="41"/>
      <c r="V22" s="41"/>
      <c r="W22" s="41"/>
      <c r="X22" s="41"/>
      <c r="Y22" s="41"/>
      <c r="Z22" s="41"/>
      <c r="AA22" s="41"/>
    </row>
    <row r="23" ht="30.0" customHeight="1">
      <c r="A23" s="23" t="s">
        <v>228</v>
      </c>
      <c r="B23" s="20" t="s">
        <v>229</v>
      </c>
      <c r="C23" s="20" t="s">
        <v>230</v>
      </c>
      <c r="D23" s="26"/>
      <c r="E23" s="11"/>
      <c r="F23" s="41"/>
      <c r="G23" s="41"/>
      <c r="H23" s="41"/>
      <c r="I23" s="41"/>
      <c r="J23" s="41"/>
      <c r="K23" s="41"/>
      <c r="L23" s="41"/>
      <c r="M23" s="41"/>
      <c r="N23" s="41"/>
      <c r="O23" s="41"/>
      <c r="P23" s="26"/>
      <c r="Q23" s="11"/>
      <c r="R23" s="26"/>
      <c r="S23" s="11"/>
      <c r="T23" s="26"/>
      <c r="U23" s="11"/>
      <c r="V23" s="26"/>
      <c r="W23" s="11"/>
      <c r="X23" s="26"/>
      <c r="Y23" s="11"/>
      <c r="Z23" s="26"/>
      <c r="AA23" s="11"/>
    </row>
    <row r="24" ht="19.5" customHeight="1">
      <c r="A24" s="48" t="s">
        <v>231</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22"/>
    </row>
    <row r="25" ht="43.5" customHeight="1">
      <c r="A25" s="23" t="s">
        <v>233</v>
      </c>
      <c r="B25" s="20" t="s">
        <v>234</v>
      </c>
      <c r="C25" s="20" t="s">
        <v>235</v>
      </c>
      <c r="D25" s="26"/>
      <c r="E25" s="11"/>
      <c r="F25" s="26"/>
      <c r="G25" s="50"/>
      <c r="H25" s="50"/>
      <c r="I25" s="50"/>
      <c r="J25" s="50"/>
      <c r="K25" s="50"/>
      <c r="L25" s="50"/>
      <c r="M25" s="11"/>
      <c r="N25" s="26"/>
      <c r="O25" s="11"/>
      <c r="P25" s="26"/>
      <c r="Q25" s="11"/>
      <c r="R25" s="26"/>
      <c r="S25" s="11"/>
      <c r="T25" s="26"/>
      <c r="U25" s="11"/>
      <c r="V25" s="26"/>
      <c r="W25" s="11"/>
      <c r="X25" s="26"/>
      <c r="Y25" s="11"/>
      <c r="Z25" s="26"/>
      <c r="AA25" s="11"/>
    </row>
    <row r="26" ht="30.0" customHeight="1">
      <c r="A26" s="23" t="s">
        <v>236</v>
      </c>
      <c r="B26" s="20" t="s">
        <v>237</v>
      </c>
      <c r="C26" s="20" t="s">
        <v>238</v>
      </c>
      <c r="D26" s="26"/>
      <c r="E26" s="11"/>
      <c r="F26" s="26"/>
      <c r="G26" s="11"/>
      <c r="H26" s="26"/>
      <c r="I26" s="11"/>
      <c r="J26" s="26"/>
      <c r="K26" s="50"/>
      <c r="L26" s="50"/>
      <c r="M26" s="50"/>
      <c r="N26" s="26"/>
      <c r="O26" s="11"/>
      <c r="P26" s="26"/>
      <c r="Q26" s="11"/>
      <c r="R26" s="26"/>
      <c r="S26" s="11"/>
      <c r="T26" s="26"/>
      <c r="U26" s="11"/>
      <c r="V26" s="26"/>
      <c r="W26" s="11"/>
      <c r="X26" s="26"/>
      <c r="Y26" s="11"/>
      <c r="Z26" s="26"/>
      <c r="AA26" s="11"/>
    </row>
    <row r="27" ht="30.0" customHeight="1">
      <c r="A27" s="23" t="s">
        <v>242</v>
      </c>
      <c r="B27" s="20" t="s">
        <v>57</v>
      </c>
      <c r="C27" s="20" t="s">
        <v>243</v>
      </c>
      <c r="D27" s="26"/>
      <c r="E27" s="11"/>
      <c r="F27" s="26"/>
      <c r="G27" s="11"/>
      <c r="H27" s="26"/>
      <c r="I27" s="11"/>
      <c r="J27" s="26"/>
      <c r="K27" s="11"/>
      <c r="L27" s="26"/>
      <c r="M27" s="50"/>
      <c r="N27" s="50"/>
      <c r="O27" s="11"/>
      <c r="P27" s="26"/>
      <c r="Q27" s="11"/>
      <c r="R27" s="26"/>
      <c r="S27" s="11"/>
      <c r="T27" s="26"/>
      <c r="U27" s="11"/>
      <c r="V27" s="26"/>
      <c r="W27" s="11"/>
      <c r="X27" s="26"/>
      <c r="Y27" s="11"/>
      <c r="Z27" s="26"/>
      <c r="AA27" s="11"/>
    </row>
    <row r="28" ht="55.5" customHeight="1">
      <c r="A28" s="23" t="s">
        <v>245</v>
      </c>
      <c r="B28" s="20" t="s">
        <v>246</v>
      </c>
      <c r="C28" s="20" t="s">
        <v>247</v>
      </c>
      <c r="D28" s="26"/>
      <c r="E28" s="11"/>
      <c r="F28" s="50"/>
      <c r="G28" s="50"/>
      <c r="H28" s="50"/>
      <c r="I28" s="50"/>
      <c r="J28" s="50"/>
      <c r="K28" s="50"/>
      <c r="L28" s="50"/>
      <c r="M28" s="11"/>
      <c r="N28" s="26"/>
      <c r="O28" s="11"/>
      <c r="P28" s="26"/>
      <c r="Q28" s="11"/>
      <c r="R28" s="26"/>
      <c r="S28" s="11"/>
      <c r="T28" s="26"/>
      <c r="U28" s="11"/>
      <c r="V28" s="26"/>
      <c r="W28" s="11"/>
      <c r="X28" s="26"/>
      <c r="Y28" s="11"/>
      <c r="Z28" s="26"/>
      <c r="AA28" s="11"/>
    </row>
    <row r="29" ht="30.0" customHeight="1">
      <c r="A29" s="23" t="s">
        <v>249</v>
      </c>
      <c r="B29" s="20" t="s">
        <v>250</v>
      </c>
      <c r="C29" s="20" t="s">
        <v>252</v>
      </c>
      <c r="D29" s="26"/>
      <c r="E29" s="11"/>
      <c r="F29" s="50"/>
      <c r="G29" s="50"/>
      <c r="H29" s="50"/>
      <c r="I29" s="50"/>
      <c r="J29" s="50"/>
      <c r="K29" s="50"/>
      <c r="L29" s="26"/>
      <c r="M29" s="11"/>
      <c r="N29" s="26"/>
      <c r="O29" s="11"/>
      <c r="P29" s="26"/>
      <c r="Q29" s="11"/>
      <c r="R29" s="26"/>
      <c r="S29" s="11"/>
      <c r="T29" s="26"/>
      <c r="U29" s="11"/>
      <c r="V29" s="26"/>
      <c r="W29" s="11"/>
      <c r="X29" s="26"/>
      <c r="Y29" s="11"/>
      <c r="Z29" s="26"/>
      <c r="AA29" s="11"/>
    </row>
    <row r="30" ht="30.0" customHeight="1">
      <c r="A30" s="23" t="s">
        <v>254</v>
      </c>
      <c r="B30" s="20" t="s">
        <v>255</v>
      </c>
      <c r="C30" s="20" t="s">
        <v>256</v>
      </c>
      <c r="D30" s="26"/>
      <c r="E30" s="11"/>
      <c r="F30" s="26"/>
      <c r="G30" s="11"/>
      <c r="H30" s="50"/>
      <c r="I30" s="50"/>
      <c r="J30" s="50"/>
      <c r="K30" s="50"/>
      <c r="L30" s="50"/>
      <c r="M30" s="50"/>
      <c r="N30" s="50"/>
      <c r="O30" s="50"/>
      <c r="P30" s="26"/>
      <c r="Q30" s="11"/>
      <c r="R30" s="26"/>
      <c r="S30" s="11"/>
      <c r="T30" s="26"/>
      <c r="U30" s="11"/>
      <c r="V30" s="26"/>
      <c r="W30" s="11"/>
      <c r="X30" s="26"/>
      <c r="Y30" s="11"/>
      <c r="Z30" s="26"/>
      <c r="AA30" s="11"/>
    </row>
    <row r="31" ht="30.0" customHeight="1">
      <c r="A31" s="23" t="s">
        <v>258</v>
      </c>
      <c r="B31" s="20" t="s">
        <v>259</v>
      </c>
      <c r="C31" s="20" t="s">
        <v>260</v>
      </c>
      <c r="D31" s="26"/>
      <c r="E31" s="11"/>
      <c r="F31" s="26"/>
      <c r="G31" s="11"/>
      <c r="H31" s="26"/>
      <c r="I31" s="50"/>
      <c r="J31" s="50"/>
      <c r="K31" s="50"/>
      <c r="L31" s="50"/>
      <c r="M31" s="50"/>
      <c r="N31" s="50"/>
      <c r="O31" s="50"/>
      <c r="P31" s="26"/>
      <c r="Q31" s="11"/>
      <c r="R31" s="26"/>
      <c r="S31" s="11"/>
      <c r="T31" s="26"/>
      <c r="U31" s="11"/>
      <c r="V31" s="26"/>
      <c r="W31" s="11"/>
      <c r="X31" s="26"/>
      <c r="Y31" s="11"/>
      <c r="Z31" s="26"/>
      <c r="AA31" s="11"/>
    </row>
    <row r="32" ht="30.0" customHeight="1">
      <c r="A32" s="23" t="s">
        <v>263</v>
      </c>
      <c r="B32" s="20" t="s">
        <v>57</v>
      </c>
      <c r="C32" s="20" t="s">
        <v>264</v>
      </c>
      <c r="D32" s="26"/>
      <c r="E32" s="11"/>
      <c r="F32" s="26"/>
      <c r="G32" s="11"/>
      <c r="H32" s="26"/>
      <c r="I32" s="11"/>
      <c r="J32" s="26"/>
      <c r="K32" s="11"/>
      <c r="L32" s="50"/>
      <c r="M32" s="50"/>
      <c r="N32" s="50"/>
      <c r="O32" s="50"/>
      <c r="P32" s="50"/>
      <c r="Q32" s="11"/>
      <c r="R32" s="26"/>
      <c r="S32" s="11"/>
      <c r="T32" s="26"/>
      <c r="U32" s="11"/>
      <c r="V32" s="26"/>
      <c r="W32" s="11"/>
      <c r="X32" s="26"/>
      <c r="Y32" s="11"/>
      <c r="Z32" s="26"/>
      <c r="AA32" s="11"/>
    </row>
    <row r="33" ht="30.0" customHeight="1">
      <c r="A33" s="23" t="s">
        <v>265</v>
      </c>
      <c r="B33" s="20" t="s">
        <v>57</v>
      </c>
      <c r="C33" s="20" t="s">
        <v>266</v>
      </c>
      <c r="D33" s="26"/>
      <c r="E33" s="11"/>
      <c r="F33" s="26"/>
      <c r="G33" s="11"/>
      <c r="H33" s="26"/>
      <c r="I33" s="11"/>
      <c r="J33" s="26"/>
      <c r="K33" s="11"/>
      <c r="L33" s="26"/>
      <c r="M33" s="11"/>
      <c r="N33" s="50"/>
      <c r="O33" s="50"/>
      <c r="P33" s="26"/>
      <c r="Q33" s="11"/>
      <c r="R33" s="26"/>
      <c r="S33" s="11"/>
      <c r="T33" s="26"/>
      <c r="U33" s="11"/>
      <c r="V33" s="26"/>
      <c r="W33" s="11"/>
      <c r="X33" s="26"/>
      <c r="Y33" s="11"/>
      <c r="Z33" s="26"/>
      <c r="AA33" s="11"/>
    </row>
    <row r="34" ht="19.5" customHeight="1">
      <c r="A34" s="54" t="s">
        <v>268</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22"/>
    </row>
    <row r="35" ht="43.5" customHeight="1">
      <c r="A35" s="23" t="s">
        <v>273</v>
      </c>
      <c r="B35" s="20" t="s">
        <v>274</v>
      </c>
      <c r="C35" s="20" t="s">
        <v>275</v>
      </c>
      <c r="D35" s="26"/>
      <c r="E35" s="11"/>
      <c r="F35" s="26"/>
      <c r="G35" s="11"/>
      <c r="H35" s="26"/>
      <c r="I35" s="11"/>
      <c r="J35" s="26"/>
      <c r="K35" s="11"/>
      <c r="L35" s="26"/>
      <c r="M35" s="11"/>
      <c r="N35" s="55"/>
      <c r="O35" s="55"/>
      <c r="P35" s="55"/>
      <c r="Q35" s="55"/>
      <c r="R35" s="55"/>
      <c r="S35" s="55"/>
      <c r="T35" s="26"/>
      <c r="U35" s="11"/>
      <c r="V35" s="26"/>
      <c r="W35" s="11"/>
      <c r="X35" s="26"/>
      <c r="Y35" s="11"/>
      <c r="Z35" s="26"/>
      <c r="AA35" s="11"/>
    </row>
    <row r="36" ht="43.5" customHeight="1">
      <c r="A36" s="23" t="s">
        <v>276</v>
      </c>
      <c r="B36" s="20" t="s">
        <v>274</v>
      </c>
      <c r="C36" s="20" t="s">
        <v>275</v>
      </c>
      <c r="D36" s="26"/>
      <c r="E36" s="11"/>
      <c r="F36" s="26"/>
      <c r="G36" s="11"/>
      <c r="H36" s="26"/>
      <c r="I36" s="11"/>
      <c r="J36" s="26"/>
      <c r="K36" s="11"/>
      <c r="L36" s="26"/>
      <c r="M36" s="11"/>
      <c r="N36" s="26"/>
      <c r="O36" s="11"/>
      <c r="P36" s="26"/>
      <c r="Q36" s="11"/>
      <c r="R36" s="26"/>
      <c r="S36" s="55"/>
      <c r="T36" s="55"/>
      <c r="U36" s="55"/>
      <c r="V36" s="55"/>
      <c r="W36" s="55"/>
      <c r="X36" s="26"/>
      <c r="Y36" s="11"/>
      <c r="Z36" s="26"/>
      <c r="AA36" s="11"/>
    </row>
    <row r="37" ht="30.0" customHeight="1">
      <c r="A37" s="23" t="s">
        <v>277</v>
      </c>
      <c r="B37" s="20" t="s">
        <v>278</v>
      </c>
      <c r="C37" s="20" t="s">
        <v>279</v>
      </c>
      <c r="D37" s="26"/>
      <c r="E37" s="11"/>
      <c r="F37" s="26"/>
      <c r="G37" s="11"/>
      <c r="H37" s="26"/>
      <c r="I37" s="11"/>
      <c r="J37" s="26"/>
      <c r="K37" s="11"/>
      <c r="L37" s="26"/>
      <c r="M37" s="11"/>
      <c r="N37" s="26"/>
      <c r="O37" s="11"/>
      <c r="P37" s="26"/>
      <c r="Q37" s="55"/>
      <c r="R37" s="55"/>
      <c r="S37" s="55"/>
      <c r="T37" s="55"/>
      <c r="U37" s="55"/>
      <c r="V37" s="55"/>
      <c r="W37" s="55"/>
      <c r="X37" s="26"/>
      <c r="Y37" s="11"/>
      <c r="Z37" s="26"/>
      <c r="AA37" s="11"/>
    </row>
    <row r="38" ht="19.5" customHeight="1">
      <c r="A38" s="56" t="s">
        <v>280</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22"/>
    </row>
    <row r="39" ht="43.5" customHeight="1">
      <c r="A39" s="23" t="s">
        <v>281</v>
      </c>
      <c r="B39" s="20" t="s">
        <v>282</v>
      </c>
      <c r="C39" s="20" t="s">
        <v>283</v>
      </c>
      <c r="D39" s="26"/>
      <c r="E39" s="11"/>
      <c r="F39" s="26"/>
      <c r="G39" s="11"/>
      <c r="H39" s="26"/>
      <c r="I39" s="11"/>
      <c r="J39" s="26"/>
      <c r="K39" s="11"/>
      <c r="L39" s="26"/>
      <c r="M39" s="11"/>
      <c r="N39" s="26"/>
      <c r="O39" s="11"/>
      <c r="P39" s="26"/>
      <c r="Q39" s="57"/>
      <c r="R39" s="57"/>
      <c r="S39" s="57"/>
      <c r="T39" s="57"/>
      <c r="U39" s="57"/>
      <c r="V39" s="57"/>
      <c r="W39" s="57"/>
      <c r="X39" s="26"/>
      <c r="Y39" s="11"/>
      <c r="Z39" s="26"/>
      <c r="AA39" s="11"/>
    </row>
    <row r="40" ht="30.0" customHeight="1">
      <c r="A40" s="23" t="s">
        <v>284</v>
      </c>
      <c r="B40" s="20" t="s">
        <v>285</v>
      </c>
      <c r="C40" s="20" t="s">
        <v>286</v>
      </c>
      <c r="D40" s="26"/>
      <c r="E40" s="11"/>
      <c r="F40" s="26"/>
      <c r="G40" s="11"/>
      <c r="H40" s="26"/>
      <c r="I40" s="11"/>
      <c r="J40" s="26"/>
      <c r="K40" s="11"/>
      <c r="L40" s="26"/>
      <c r="M40" s="11"/>
      <c r="N40" s="26"/>
      <c r="O40" s="11"/>
      <c r="P40" s="26"/>
      <c r="Q40" s="11"/>
      <c r="R40" s="26"/>
      <c r="S40" s="11"/>
      <c r="T40" s="26"/>
      <c r="U40" s="57"/>
      <c r="V40" s="57"/>
      <c r="W40" s="57"/>
      <c r="X40" s="57"/>
      <c r="Y40" s="57"/>
      <c r="Z40" s="57"/>
      <c r="AA40" s="57"/>
    </row>
    <row r="41" ht="43.5" customHeight="1">
      <c r="A41" s="23" t="s">
        <v>287</v>
      </c>
      <c r="B41" s="20" t="s">
        <v>288</v>
      </c>
      <c r="C41" s="20" t="s">
        <v>289</v>
      </c>
      <c r="D41" s="26"/>
      <c r="E41" s="11"/>
      <c r="F41" s="26"/>
      <c r="G41" s="11"/>
      <c r="H41" s="26"/>
      <c r="I41" s="11"/>
      <c r="J41" s="26"/>
      <c r="K41" s="11"/>
      <c r="L41" s="26"/>
      <c r="M41" s="11"/>
      <c r="N41" s="26"/>
      <c r="O41" s="11"/>
      <c r="P41" s="26"/>
      <c r="Q41" s="11"/>
      <c r="R41" s="26"/>
      <c r="S41" s="11"/>
      <c r="T41" s="26"/>
      <c r="U41" s="11"/>
      <c r="V41" s="26"/>
      <c r="W41" s="11"/>
      <c r="X41" s="57"/>
      <c r="Y41" s="57"/>
      <c r="Z41" s="57"/>
      <c r="AA41" s="57"/>
    </row>
    <row r="42" ht="30.0" customHeight="1">
      <c r="A42" s="23" t="s">
        <v>290</v>
      </c>
      <c r="B42" s="20" t="s">
        <v>57</v>
      </c>
      <c r="C42" s="20" t="s">
        <v>291</v>
      </c>
      <c r="D42" s="26"/>
      <c r="E42" s="11"/>
      <c r="F42" s="26"/>
      <c r="G42" s="11"/>
      <c r="H42" s="26"/>
      <c r="I42" s="11"/>
      <c r="J42" s="26"/>
      <c r="K42" s="11"/>
      <c r="L42" s="26"/>
      <c r="M42" s="11"/>
      <c r="N42" s="26"/>
      <c r="O42" s="11"/>
      <c r="P42" s="26"/>
      <c r="Q42" s="11"/>
      <c r="R42" s="26"/>
      <c r="S42" s="11"/>
      <c r="T42" s="26"/>
      <c r="U42" s="11"/>
      <c r="V42" s="26"/>
      <c r="W42" s="11"/>
      <c r="X42" s="57"/>
      <c r="Y42" s="57"/>
      <c r="Z42" s="57"/>
      <c r="AA42" s="57"/>
    </row>
    <row r="43" ht="30.0" customHeight="1">
      <c r="A43" s="23" t="s">
        <v>292</v>
      </c>
      <c r="B43" s="20" t="s">
        <v>293</v>
      </c>
      <c r="C43" s="20" t="s">
        <v>294</v>
      </c>
      <c r="D43" s="26"/>
      <c r="E43" s="11"/>
      <c r="F43" s="26"/>
      <c r="G43" s="11"/>
      <c r="H43" s="26"/>
      <c r="I43" s="11"/>
      <c r="J43" s="26"/>
      <c r="K43" s="11"/>
      <c r="L43" s="26"/>
      <c r="M43" s="11"/>
      <c r="N43" s="26"/>
      <c r="O43" s="11"/>
      <c r="P43" s="26"/>
      <c r="Q43" s="11"/>
      <c r="R43" s="26"/>
      <c r="S43" s="11"/>
      <c r="T43" s="26"/>
      <c r="U43" s="11"/>
      <c r="V43" s="26"/>
      <c r="W43" s="11"/>
      <c r="X43" s="26"/>
      <c r="Y43" s="57"/>
      <c r="Z43" s="57"/>
      <c r="AA43" s="57"/>
    </row>
    <row r="44" ht="19.5" customHeight="1">
      <c r="A44" s="58" t="s">
        <v>295</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22"/>
    </row>
    <row r="45" ht="43.5" customHeight="1">
      <c r="A45" s="23" t="s">
        <v>296</v>
      </c>
      <c r="B45" s="20" t="s">
        <v>297</v>
      </c>
      <c r="C45" s="20" t="s">
        <v>298</v>
      </c>
      <c r="D45" s="26"/>
      <c r="E45" s="11"/>
      <c r="F45" s="26"/>
      <c r="G45" s="11"/>
      <c r="H45" s="26"/>
      <c r="I45" s="11"/>
      <c r="J45" s="26"/>
      <c r="K45" s="11"/>
      <c r="L45" s="26"/>
      <c r="M45" s="11"/>
      <c r="N45" s="26"/>
      <c r="O45" s="11"/>
      <c r="P45" s="26"/>
      <c r="Q45" s="11"/>
      <c r="R45" s="26"/>
      <c r="S45" s="11"/>
      <c r="T45" s="26"/>
      <c r="U45" s="11"/>
      <c r="V45" s="59"/>
      <c r="W45" s="59"/>
      <c r="X45" s="26"/>
      <c r="Y45" s="11"/>
      <c r="Z45" s="26"/>
      <c r="AA45" s="11"/>
    </row>
    <row r="46" ht="30.0" customHeight="1">
      <c r="A46" s="23" t="s">
        <v>299</v>
      </c>
      <c r="B46" s="20" t="s">
        <v>300</v>
      </c>
      <c r="C46" s="20" t="s">
        <v>301</v>
      </c>
      <c r="D46" s="26"/>
      <c r="E46" s="11"/>
      <c r="F46" s="26"/>
      <c r="G46" s="11"/>
      <c r="H46" s="26"/>
      <c r="I46" s="11"/>
      <c r="J46" s="26"/>
      <c r="K46" s="11"/>
      <c r="L46" s="26"/>
      <c r="M46" s="11"/>
      <c r="N46" s="26"/>
      <c r="O46" s="11"/>
      <c r="P46" s="26"/>
      <c r="Q46" s="11"/>
      <c r="R46" s="26"/>
      <c r="S46" s="11"/>
      <c r="T46" s="26"/>
      <c r="U46" s="11"/>
      <c r="V46" s="26"/>
      <c r="W46" s="11"/>
      <c r="X46" s="59"/>
      <c r="Y46" s="11"/>
      <c r="Z46" s="26"/>
      <c r="AA46" s="11"/>
    </row>
    <row r="47" ht="30.0" customHeight="1">
      <c r="A47" s="23" t="s">
        <v>302</v>
      </c>
      <c r="B47" s="20" t="s">
        <v>303</v>
      </c>
      <c r="C47" s="20" t="s">
        <v>304</v>
      </c>
      <c r="D47" s="26"/>
      <c r="E47" s="11"/>
      <c r="F47" s="26"/>
      <c r="G47" s="11"/>
      <c r="H47" s="26"/>
      <c r="I47" s="11"/>
      <c r="J47" s="26"/>
      <c r="K47" s="11"/>
      <c r="L47" s="26"/>
      <c r="M47" s="11"/>
      <c r="N47" s="26"/>
      <c r="O47" s="11"/>
      <c r="P47" s="26"/>
      <c r="Q47" s="11"/>
      <c r="R47" s="26"/>
      <c r="S47" s="11"/>
      <c r="T47" s="26"/>
      <c r="U47" s="11"/>
      <c r="V47" s="26"/>
      <c r="W47" s="11"/>
      <c r="X47" s="26"/>
      <c r="Y47" s="59"/>
      <c r="Z47" s="59"/>
      <c r="AA47" s="11"/>
    </row>
    <row r="48" ht="30.0" customHeight="1">
      <c r="A48" s="23" t="s">
        <v>305</v>
      </c>
      <c r="B48" s="20" t="s">
        <v>306</v>
      </c>
      <c r="C48" s="20" t="s">
        <v>307</v>
      </c>
      <c r="D48" s="26"/>
      <c r="E48" s="11"/>
      <c r="F48" s="26"/>
      <c r="G48" s="11"/>
      <c r="H48" s="26"/>
      <c r="I48" s="11"/>
      <c r="J48" s="26"/>
      <c r="K48" s="11"/>
      <c r="L48" s="26"/>
      <c r="M48" s="11"/>
      <c r="N48" s="26"/>
      <c r="O48" s="11"/>
      <c r="P48" s="26"/>
      <c r="Q48" s="11"/>
      <c r="R48" s="26"/>
      <c r="S48" s="11"/>
      <c r="T48" s="26"/>
      <c r="U48" s="11"/>
      <c r="V48" s="26"/>
      <c r="W48" s="11"/>
      <c r="X48" s="59"/>
      <c r="Y48" s="59"/>
      <c r="Z48" s="59"/>
      <c r="AA48" s="59"/>
    </row>
    <row r="49" ht="43.5" customHeight="1">
      <c r="A49" s="23" t="s">
        <v>308</v>
      </c>
      <c r="B49" s="20" t="s">
        <v>57</v>
      </c>
      <c r="C49" s="20" t="s">
        <v>309</v>
      </c>
      <c r="D49" s="26"/>
      <c r="E49" s="11"/>
      <c r="F49" s="26"/>
      <c r="G49" s="11"/>
      <c r="H49" s="26"/>
      <c r="I49" s="11"/>
      <c r="J49" s="26"/>
      <c r="K49" s="11"/>
      <c r="L49" s="26"/>
      <c r="M49" s="11"/>
      <c r="N49" s="26"/>
      <c r="O49" s="11"/>
      <c r="P49" s="26"/>
      <c r="Q49" s="11"/>
      <c r="R49" s="26"/>
      <c r="S49" s="11"/>
      <c r="T49" s="26"/>
      <c r="U49" s="11"/>
      <c r="V49" s="26"/>
      <c r="W49" s="11"/>
      <c r="X49" s="26"/>
      <c r="Y49" s="11"/>
      <c r="Z49" s="59"/>
      <c r="AA49" s="59"/>
    </row>
    <row r="50" ht="30.0" customHeight="1">
      <c r="A50" s="23" t="s">
        <v>310</v>
      </c>
      <c r="B50" s="20" t="s">
        <v>311</v>
      </c>
      <c r="C50" s="20" t="s">
        <v>312</v>
      </c>
      <c r="D50" s="26"/>
      <c r="E50" s="11"/>
      <c r="F50" s="26"/>
      <c r="G50" s="11"/>
      <c r="H50" s="26"/>
      <c r="I50" s="11"/>
      <c r="J50" s="26"/>
      <c r="K50" s="11"/>
      <c r="L50" s="26"/>
      <c r="M50" s="11"/>
      <c r="N50" s="26"/>
      <c r="O50" s="11"/>
      <c r="P50" s="26"/>
      <c r="Q50" s="11"/>
      <c r="R50" s="26"/>
      <c r="S50" s="11"/>
      <c r="T50" s="26"/>
      <c r="U50" s="11"/>
      <c r="V50" s="26"/>
      <c r="W50" s="11"/>
      <c r="X50" s="26"/>
      <c r="Y50" s="11"/>
      <c r="Z50" s="59"/>
      <c r="AA50" s="59"/>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8">
    <mergeCell ref="A1:AA1"/>
    <mergeCell ref="A2:AA2"/>
    <mergeCell ref="A6:AA6"/>
    <mergeCell ref="A15:AA15"/>
    <mergeCell ref="A24:AA24"/>
    <mergeCell ref="A34:AA34"/>
    <mergeCell ref="A38:AA38"/>
    <mergeCell ref="A44:AA4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3" width="13.0"/>
    <col customWidth="1" min="4" max="4" width="14.0"/>
    <col customWidth="1" min="5" max="5" width="10.0"/>
    <col customWidth="1" min="6" max="6" width="15.0"/>
    <col customWidth="1" min="7" max="7" width="46.0"/>
    <col customWidth="1" min="8" max="8" width="36.0"/>
    <col customWidth="1" min="9" max="9" width="13.0"/>
  </cols>
  <sheetData>
    <row r="1" ht="19.5" customHeight="1">
      <c r="A1" s="1" t="s">
        <v>0</v>
      </c>
      <c r="J1" s="3"/>
      <c r="K1" s="3"/>
      <c r="L1" s="3"/>
      <c r="M1" s="3"/>
      <c r="N1" s="3"/>
      <c r="O1" s="3"/>
      <c r="P1" s="3"/>
      <c r="Q1" s="3"/>
      <c r="R1" s="3"/>
      <c r="S1" s="3"/>
      <c r="T1" s="3"/>
      <c r="U1" s="3"/>
      <c r="V1" s="3"/>
      <c r="W1" s="3"/>
      <c r="X1" s="3"/>
      <c r="Y1" s="3"/>
      <c r="Z1" s="3"/>
    </row>
    <row r="2" ht="45.75" customHeight="1">
      <c r="A2" s="4" t="s">
        <v>4</v>
      </c>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ht="33.75" customHeight="1">
      <c r="A4" s="7" t="s">
        <v>8</v>
      </c>
      <c r="B4" s="7" t="s">
        <v>16</v>
      </c>
      <c r="C4" s="7" t="s">
        <v>19</v>
      </c>
      <c r="D4" s="7" t="s">
        <v>22</v>
      </c>
      <c r="E4" s="7" t="s">
        <v>24</v>
      </c>
      <c r="F4" s="7" t="s">
        <v>26</v>
      </c>
      <c r="G4" s="7" t="s">
        <v>28</v>
      </c>
      <c r="H4" s="7" t="s">
        <v>31</v>
      </c>
      <c r="I4" s="7" t="s">
        <v>33</v>
      </c>
      <c r="J4" s="3"/>
      <c r="K4" s="3"/>
      <c r="L4" s="3"/>
      <c r="M4" s="3"/>
      <c r="N4" s="3"/>
      <c r="O4" s="3"/>
      <c r="P4" s="3"/>
      <c r="Q4" s="3"/>
      <c r="R4" s="3"/>
      <c r="S4" s="3"/>
      <c r="T4" s="3"/>
      <c r="U4" s="3"/>
      <c r="V4" s="3"/>
      <c r="W4" s="3"/>
      <c r="X4" s="3"/>
      <c r="Y4" s="3"/>
      <c r="Z4" s="3"/>
    </row>
    <row r="5" ht="33.75" customHeight="1">
      <c r="A5" s="8" t="s">
        <v>47</v>
      </c>
      <c r="B5" s="9">
        <v>300000.0</v>
      </c>
      <c r="C5" s="10" t="s">
        <v>57</v>
      </c>
      <c r="D5" s="10" t="s">
        <v>57</v>
      </c>
      <c r="E5" s="10" t="s">
        <v>57</v>
      </c>
      <c r="F5" s="18">
        <f t="shared" ref="F5:F10" si="1">1000000/B5</f>
        <v>3.333333333</v>
      </c>
      <c r="G5" s="20" t="s">
        <v>94</v>
      </c>
      <c r="H5" s="20" t="s">
        <v>97</v>
      </c>
      <c r="I5" s="21" t="s">
        <v>100</v>
      </c>
      <c r="J5" s="3"/>
      <c r="K5" s="3"/>
      <c r="L5" s="3"/>
      <c r="M5" s="3"/>
      <c r="N5" s="3"/>
      <c r="O5" s="3"/>
      <c r="P5" s="3"/>
      <c r="Q5" s="3"/>
      <c r="R5" s="3"/>
      <c r="S5" s="3"/>
      <c r="T5" s="3"/>
      <c r="U5" s="3"/>
      <c r="V5" s="3"/>
      <c r="W5" s="3"/>
      <c r="X5" s="3"/>
      <c r="Y5" s="3"/>
      <c r="Z5" s="3"/>
    </row>
    <row r="6" ht="33.75" customHeight="1">
      <c r="A6" s="8" t="s">
        <v>107</v>
      </c>
      <c r="B6" s="9">
        <v>15000.0</v>
      </c>
      <c r="C6" s="27">
        <f t="shared" ref="C6:C10" si="2">B6/B5</f>
        <v>0.05</v>
      </c>
      <c r="D6" s="10" t="s">
        <v>117</v>
      </c>
      <c r="E6" s="30">
        <f>B6/B5-0.05</f>
        <v>0</v>
      </c>
      <c r="F6" s="18">
        <f t="shared" si="1"/>
        <v>66.66666667</v>
      </c>
      <c r="G6" s="20" t="s">
        <v>125</v>
      </c>
      <c r="H6" s="20" t="s">
        <v>127</v>
      </c>
      <c r="I6" s="21" t="s">
        <v>128</v>
      </c>
      <c r="J6" s="3"/>
      <c r="K6" s="3"/>
      <c r="L6" s="3"/>
      <c r="M6" s="3"/>
      <c r="N6" s="3"/>
      <c r="O6" s="3"/>
      <c r="P6" s="3"/>
      <c r="Q6" s="3"/>
      <c r="R6" s="3"/>
      <c r="S6" s="3"/>
      <c r="T6" s="3"/>
      <c r="U6" s="3"/>
      <c r="V6" s="3"/>
      <c r="W6" s="3"/>
      <c r="X6" s="3"/>
      <c r="Y6" s="3"/>
      <c r="Z6" s="3"/>
    </row>
    <row r="7" ht="33.75" customHeight="1">
      <c r="A7" s="33" t="s">
        <v>134</v>
      </c>
      <c r="B7" s="9">
        <v>850.0</v>
      </c>
      <c r="C7" s="27">
        <f t="shared" si="2"/>
        <v>0.05666666667</v>
      </c>
      <c r="D7" s="10" t="s">
        <v>135</v>
      </c>
      <c r="E7" s="35" t="s">
        <v>137</v>
      </c>
      <c r="F7" s="18">
        <f t="shared" si="1"/>
        <v>1176.470588</v>
      </c>
      <c r="G7" s="20" t="s">
        <v>143</v>
      </c>
      <c r="H7" s="20" t="s">
        <v>145</v>
      </c>
      <c r="I7" s="21" t="s">
        <v>146</v>
      </c>
      <c r="J7" s="3"/>
      <c r="K7" s="3"/>
      <c r="L7" s="3"/>
      <c r="M7" s="3"/>
      <c r="N7" s="3"/>
      <c r="O7" s="3"/>
      <c r="P7" s="3"/>
      <c r="Q7" s="3"/>
      <c r="R7" s="3"/>
      <c r="S7" s="3"/>
      <c r="T7" s="3"/>
      <c r="U7" s="3"/>
      <c r="V7" s="3"/>
      <c r="W7" s="3"/>
      <c r="X7" s="3"/>
      <c r="Y7" s="3"/>
      <c r="Z7" s="3"/>
    </row>
    <row r="8" ht="33.75" customHeight="1">
      <c r="A8" s="8" t="s">
        <v>151</v>
      </c>
      <c r="B8" s="9">
        <v>255.0</v>
      </c>
      <c r="C8" s="27">
        <f t="shared" si="2"/>
        <v>0.3</v>
      </c>
      <c r="D8" s="10" t="s">
        <v>152</v>
      </c>
      <c r="E8" s="30">
        <f>B8/B7-0.3</f>
        <v>0</v>
      </c>
      <c r="F8" s="18">
        <f t="shared" si="1"/>
        <v>3921.568627</v>
      </c>
      <c r="G8" s="20" t="s">
        <v>160</v>
      </c>
      <c r="H8" s="20" t="s">
        <v>161</v>
      </c>
      <c r="I8" s="21" t="s">
        <v>100</v>
      </c>
      <c r="J8" s="3"/>
      <c r="K8" s="3"/>
      <c r="L8" s="3"/>
      <c r="M8" s="3"/>
      <c r="N8" s="3"/>
      <c r="O8" s="3"/>
      <c r="P8" s="3"/>
      <c r="Q8" s="3"/>
      <c r="R8" s="3"/>
      <c r="S8" s="3"/>
      <c r="T8" s="3"/>
      <c r="U8" s="3"/>
      <c r="V8" s="3"/>
      <c r="W8" s="3"/>
      <c r="X8" s="3"/>
      <c r="Y8" s="3"/>
      <c r="Z8" s="3"/>
    </row>
    <row r="9" ht="33.75" customHeight="1">
      <c r="A9" s="8" t="s">
        <v>167</v>
      </c>
      <c r="B9" s="9">
        <v>100.0</v>
      </c>
      <c r="C9" s="27">
        <f t="shared" si="2"/>
        <v>0.3921568627</v>
      </c>
      <c r="D9" s="10" t="s">
        <v>168</v>
      </c>
      <c r="E9" s="38">
        <f>B9/B8-0.67</f>
        <v>-0.2778431373</v>
      </c>
      <c r="F9" s="18">
        <f t="shared" si="1"/>
        <v>10000</v>
      </c>
      <c r="G9" s="20" t="s">
        <v>178</v>
      </c>
      <c r="H9" s="20" t="s">
        <v>179</v>
      </c>
      <c r="I9" s="21" t="s">
        <v>180</v>
      </c>
      <c r="J9" s="3"/>
      <c r="K9" s="3"/>
      <c r="L9" s="3"/>
      <c r="M9" s="3"/>
      <c r="N9" s="3"/>
      <c r="O9" s="3"/>
      <c r="P9" s="3"/>
      <c r="Q9" s="3"/>
      <c r="R9" s="3"/>
      <c r="S9" s="3"/>
      <c r="T9" s="3"/>
      <c r="U9" s="3"/>
      <c r="V9" s="3"/>
      <c r="W9" s="3"/>
      <c r="X9" s="3"/>
      <c r="Y9" s="3"/>
      <c r="Z9" s="3"/>
    </row>
    <row r="10" ht="33.75" customHeight="1">
      <c r="A10" s="8" t="s">
        <v>185</v>
      </c>
      <c r="B10" s="9">
        <v>10.0</v>
      </c>
      <c r="C10" s="27">
        <f t="shared" si="2"/>
        <v>0.1</v>
      </c>
      <c r="D10" s="10" t="s">
        <v>186</v>
      </c>
      <c r="E10" s="38">
        <f>B10/B9-0.1</f>
        <v>0</v>
      </c>
      <c r="F10" s="18">
        <f t="shared" si="1"/>
        <v>100000</v>
      </c>
      <c r="G10" s="20" t="s">
        <v>191</v>
      </c>
      <c r="H10" s="20" t="s">
        <v>193</v>
      </c>
      <c r="I10" s="21" t="s">
        <v>180</v>
      </c>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42" t="s">
        <v>201</v>
      </c>
      <c r="B12" s="3"/>
      <c r="C12" s="3"/>
      <c r="D12" s="3"/>
      <c r="E12" s="3"/>
      <c r="F12" s="3"/>
      <c r="G12" s="3"/>
      <c r="H12" s="3"/>
      <c r="I12" s="3"/>
      <c r="J12" s="3"/>
      <c r="K12" s="3"/>
      <c r="L12" s="3"/>
      <c r="M12" s="3"/>
      <c r="N12" s="3"/>
      <c r="O12" s="3"/>
      <c r="P12" s="3"/>
      <c r="Q12" s="3"/>
      <c r="R12" s="3"/>
      <c r="S12" s="3"/>
      <c r="T12" s="3"/>
      <c r="U12" s="3"/>
      <c r="V12" s="3"/>
      <c r="W12" s="3"/>
      <c r="X12" s="3"/>
      <c r="Y12" s="3"/>
      <c r="Z12" s="3"/>
    </row>
    <row r="13" ht="25.5" customHeight="1">
      <c r="A13" s="44" t="s">
        <v>207</v>
      </c>
      <c r="J13" s="3"/>
      <c r="K13" s="3"/>
      <c r="L13" s="3"/>
      <c r="M13" s="3"/>
      <c r="N13" s="3"/>
      <c r="O13" s="3"/>
      <c r="P13" s="3"/>
      <c r="Q13" s="3"/>
      <c r="R13" s="3"/>
      <c r="S13" s="3"/>
      <c r="T13" s="3"/>
      <c r="U13" s="3"/>
      <c r="V13" s="3"/>
      <c r="W13" s="3"/>
      <c r="X13" s="3"/>
      <c r="Y13" s="3"/>
      <c r="Z13" s="3"/>
    </row>
    <row r="14" ht="25.5" customHeight="1">
      <c r="A14" s="44" t="s">
        <v>210</v>
      </c>
      <c r="J14" s="3"/>
      <c r="K14" s="3"/>
      <c r="L14" s="3"/>
      <c r="M14" s="3"/>
      <c r="N14" s="3"/>
      <c r="O14" s="3"/>
      <c r="P14" s="3"/>
      <c r="Q14" s="3"/>
      <c r="R14" s="3"/>
      <c r="S14" s="3"/>
      <c r="T14" s="3"/>
      <c r="U14" s="3"/>
      <c r="V14" s="3"/>
      <c r="W14" s="3"/>
      <c r="X14" s="3"/>
      <c r="Y14" s="3"/>
      <c r="Z14" s="3"/>
    </row>
    <row r="15" ht="25.5" customHeight="1">
      <c r="A15" s="44" t="s">
        <v>214</v>
      </c>
      <c r="J15" s="3"/>
      <c r="K15" s="3"/>
      <c r="L15" s="3"/>
      <c r="M15" s="3"/>
      <c r="N15" s="3"/>
      <c r="O15" s="3"/>
      <c r="P15" s="3"/>
      <c r="Q15" s="3"/>
      <c r="R15" s="3"/>
      <c r="S15" s="3"/>
      <c r="T15" s="3"/>
      <c r="U15" s="3"/>
      <c r="V15" s="3"/>
      <c r="W15" s="3"/>
      <c r="X15" s="3"/>
      <c r="Y15" s="3"/>
      <c r="Z15" s="3"/>
    </row>
    <row r="16" ht="25.5" customHeight="1">
      <c r="A16" s="44" t="s">
        <v>217</v>
      </c>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A1:I1"/>
    <mergeCell ref="A2:I2"/>
    <mergeCell ref="A13:I13"/>
    <mergeCell ref="A14:I14"/>
    <mergeCell ref="A15:I15"/>
    <mergeCell ref="A16:I16"/>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46.0"/>
    <col customWidth="1" min="3" max="3" width="18.0"/>
    <col customWidth="1" min="4" max="4" width="38.0"/>
    <col customWidth="1" min="5" max="5" width="42.0"/>
    <col customWidth="1" min="6" max="6" width="8.71"/>
  </cols>
  <sheetData>
    <row r="1" ht="19.5" customHeight="1">
      <c r="A1" s="1" t="s">
        <v>1</v>
      </c>
      <c r="F1" s="3"/>
      <c r="G1" s="3"/>
      <c r="H1" s="3"/>
      <c r="I1" s="3"/>
      <c r="J1" s="3"/>
      <c r="K1" s="3"/>
      <c r="L1" s="3"/>
      <c r="M1" s="3"/>
      <c r="N1" s="3"/>
      <c r="O1" s="3"/>
      <c r="P1" s="3"/>
      <c r="Q1" s="3"/>
      <c r="R1" s="3"/>
      <c r="S1" s="3"/>
      <c r="T1" s="3"/>
      <c r="U1" s="3"/>
      <c r="V1" s="3"/>
      <c r="W1" s="3"/>
      <c r="X1" s="3"/>
      <c r="Y1" s="3"/>
      <c r="Z1" s="3"/>
    </row>
    <row r="2" ht="45.75" customHeight="1">
      <c r="A2" s="4" t="s">
        <v>7</v>
      </c>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ht="33.75" customHeight="1">
      <c r="A4" s="7" t="s">
        <v>9</v>
      </c>
      <c r="B4" s="7" t="s">
        <v>40</v>
      </c>
      <c r="C4" s="7" t="s">
        <v>16</v>
      </c>
      <c r="D4" s="7" t="s">
        <v>49</v>
      </c>
      <c r="E4" s="7" t="s">
        <v>50</v>
      </c>
      <c r="F4" s="3"/>
      <c r="G4" s="3"/>
      <c r="H4" s="3"/>
      <c r="I4" s="3"/>
      <c r="J4" s="3"/>
      <c r="K4" s="3"/>
      <c r="L4" s="3"/>
      <c r="M4" s="3"/>
      <c r="N4" s="3"/>
      <c r="O4" s="3"/>
      <c r="P4" s="3"/>
      <c r="Q4" s="3"/>
      <c r="R4" s="3"/>
      <c r="S4" s="3"/>
      <c r="T4" s="3"/>
      <c r="U4" s="3"/>
      <c r="V4" s="3"/>
      <c r="W4" s="3"/>
      <c r="X4" s="3"/>
      <c r="Y4" s="3"/>
      <c r="Z4" s="3"/>
    </row>
    <row r="5" ht="78.0" customHeight="1">
      <c r="A5" s="12" t="s">
        <v>58</v>
      </c>
      <c r="B5" s="14" t="s">
        <v>64</v>
      </c>
      <c r="C5" s="15" t="s">
        <v>75</v>
      </c>
      <c r="D5" s="14" t="s">
        <v>82</v>
      </c>
      <c r="E5" s="14" t="s">
        <v>86</v>
      </c>
      <c r="F5" s="3"/>
      <c r="G5" s="3"/>
      <c r="H5" s="3"/>
      <c r="I5" s="3"/>
      <c r="J5" s="3"/>
      <c r="K5" s="3"/>
      <c r="L5" s="3"/>
      <c r="M5" s="3"/>
      <c r="N5" s="3"/>
      <c r="O5" s="3"/>
      <c r="P5" s="3"/>
      <c r="Q5" s="3"/>
      <c r="R5" s="3"/>
      <c r="S5" s="3"/>
      <c r="T5" s="3"/>
      <c r="U5" s="3"/>
      <c r="V5" s="3"/>
      <c r="W5" s="3"/>
      <c r="X5" s="3"/>
      <c r="Y5" s="3"/>
      <c r="Z5" s="3"/>
    </row>
    <row r="6" ht="78.0" customHeight="1">
      <c r="A6" s="12" t="s">
        <v>89</v>
      </c>
      <c r="B6" s="14" t="s">
        <v>90</v>
      </c>
      <c r="C6" s="15" t="s">
        <v>91</v>
      </c>
      <c r="D6" s="14" t="s">
        <v>92</v>
      </c>
      <c r="E6" s="14" t="s">
        <v>93</v>
      </c>
      <c r="F6" s="3"/>
      <c r="G6" s="3"/>
      <c r="H6" s="3"/>
      <c r="I6" s="3"/>
      <c r="J6" s="3"/>
      <c r="K6" s="3"/>
      <c r="L6" s="3"/>
      <c r="M6" s="3"/>
      <c r="N6" s="3"/>
      <c r="O6" s="3"/>
      <c r="P6" s="3"/>
      <c r="Q6" s="3"/>
      <c r="R6" s="3"/>
      <c r="S6" s="3"/>
      <c r="T6" s="3"/>
      <c r="U6" s="3"/>
      <c r="V6" s="3"/>
      <c r="W6" s="3"/>
      <c r="X6" s="3"/>
      <c r="Y6" s="3"/>
      <c r="Z6" s="3"/>
    </row>
    <row r="7" ht="78.0" customHeight="1">
      <c r="A7" s="12" t="s">
        <v>95</v>
      </c>
      <c r="B7" s="14" t="s">
        <v>96</v>
      </c>
      <c r="C7" s="15" t="s">
        <v>98</v>
      </c>
      <c r="D7" s="14" t="s">
        <v>99</v>
      </c>
      <c r="E7" s="14" t="s">
        <v>101</v>
      </c>
      <c r="F7" s="3"/>
      <c r="G7" s="3"/>
      <c r="H7" s="3"/>
      <c r="I7" s="3"/>
      <c r="J7" s="3"/>
      <c r="K7" s="3"/>
      <c r="L7" s="3"/>
      <c r="M7" s="3"/>
      <c r="N7" s="3"/>
      <c r="O7" s="3"/>
      <c r="P7" s="3"/>
      <c r="Q7" s="3"/>
      <c r="R7" s="3"/>
      <c r="S7" s="3"/>
      <c r="T7" s="3"/>
      <c r="U7" s="3"/>
      <c r="V7" s="3"/>
      <c r="W7" s="3"/>
      <c r="X7" s="3"/>
      <c r="Y7" s="3"/>
      <c r="Z7" s="3"/>
    </row>
    <row r="8" ht="78.0" customHeight="1">
      <c r="A8" s="12" t="s">
        <v>102</v>
      </c>
      <c r="B8" s="14" t="s">
        <v>103</v>
      </c>
      <c r="C8" s="15" t="s">
        <v>104</v>
      </c>
      <c r="D8" s="14" t="s">
        <v>106</v>
      </c>
      <c r="E8" s="24" t="s">
        <v>108</v>
      </c>
      <c r="F8" s="3"/>
      <c r="G8" s="3"/>
      <c r="H8" s="3"/>
      <c r="I8" s="3"/>
      <c r="J8" s="3"/>
      <c r="K8" s="3"/>
      <c r="L8" s="3"/>
      <c r="M8" s="3"/>
      <c r="N8" s="3"/>
      <c r="O8" s="3"/>
      <c r="P8" s="3"/>
      <c r="Q8" s="3"/>
      <c r="R8" s="3"/>
      <c r="S8" s="3"/>
      <c r="T8" s="3"/>
      <c r="U8" s="3"/>
      <c r="V8" s="3"/>
      <c r="W8" s="3"/>
      <c r="X8" s="3"/>
      <c r="Y8" s="3"/>
      <c r="Z8" s="3"/>
    </row>
    <row r="9" ht="78.0" customHeight="1">
      <c r="A9" s="12" t="s">
        <v>111</v>
      </c>
      <c r="B9" s="14" t="s">
        <v>112</v>
      </c>
      <c r="C9" s="15" t="s">
        <v>113</v>
      </c>
      <c r="D9" s="14" t="s">
        <v>114</v>
      </c>
      <c r="E9" s="14" t="s">
        <v>115</v>
      </c>
      <c r="F9" s="3"/>
      <c r="G9" s="3"/>
      <c r="H9" s="3"/>
      <c r="I9" s="3"/>
      <c r="J9" s="3"/>
      <c r="K9" s="3"/>
      <c r="L9" s="3"/>
      <c r="M9" s="3"/>
      <c r="N9" s="3"/>
      <c r="O9" s="3"/>
      <c r="P9" s="3"/>
      <c r="Q9" s="3"/>
      <c r="R9" s="3"/>
      <c r="S9" s="3"/>
      <c r="T9" s="3"/>
      <c r="U9" s="3"/>
      <c r="V9" s="3"/>
      <c r="W9" s="3"/>
      <c r="X9" s="3"/>
      <c r="Y9" s="3"/>
      <c r="Z9" s="3"/>
    </row>
    <row r="10" ht="78.0" customHeight="1">
      <c r="A10" s="12" t="s">
        <v>116</v>
      </c>
      <c r="B10" s="14" t="s">
        <v>118</v>
      </c>
      <c r="C10" s="15" t="s">
        <v>119</v>
      </c>
      <c r="D10" s="14" t="s">
        <v>120</v>
      </c>
      <c r="E10" s="14" t="s">
        <v>121</v>
      </c>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1" t="s">
        <v>124</v>
      </c>
      <c r="B12" s="3"/>
      <c r="C12" s="3"/>
      <c r="D12" s="3"/>
      <c r="E12" s="3"/>
      <c r="F12" s="3"/>
      <c r="G12" s="3"/>
      <c r="H12" s="3"/>
      <c r="I12" s="3"/>
      <c r="J12" s="3"/>
      <c r="K12" s="3"/>
      <c r="L12" s="3"/>
      <c r="M12" s="3"/>
      <c r="N12" s="3"/>
      <c r="O12" s="3"/>
      <c r="P12" s="3"/>
      <c r="Q12" s="3"/>
      <c r="R12" s="3"/>
      <c r="S12" s="3"/>
      <c r="T12" s="3"/>
      <c r="U12" s="3"/>
      <c r="V12" s="3"/>
      <c r="W12" s="3"/>
      <c r="X12" s="3"/>
      <c r="Y12" s="3"/>
      <c r="Z12" s="3"/>
    </row>
    <row r="13" ht="19.5" customHeight="1">
      <c r="A13" s="7" t="s">
        <v>131</v>
      </c>
      <c r="B13" s="7" t="s">
        <v>132</v>
      </c>
      <c r="C13" s="7" t="s">
        <v>133</v>
      </c>
      <c r="D13" s="7"/>
      <c r="E13" s="7"/>
      <c r="F13" s="3"/>
      <c r="G13" s="3"/>
      <c r="H13" s="3"/>
      <c r="I13" s="3"/>
      <c r="J13" s="3"/>
      <c r="K13" s="3"/>
      <c r="L13" s="3"/>
      <c r="M13" s="3"/>
      <c r="N13" s="3"/>
      <c r="O13" s="3"/>
      <c r="P13" s="3"/>
      <c r="Q13" s="3"/>
      <c r="R13" s="3"/>
      <c r="S13" s="3"/>
      <c r="T13" s="3"/>
      <c r="U13" s="3"/>
      <c r="V13" s="3"/>
      <c r="W13" s="3"/>
      <c r="X13" s="3"/>
      <c r="Y13" s="3"/>
      <c r="Z13" s="3"/>
    </row>
    <row r="14" ht="42.0" customHeight="1">
      <c r="A14" s="8" t="s">
        <v>138</v>
      </c>
      <c r="B14" s="36" t="s">
        <v>139</v>
      </c>
      <c r="C14" s="37" t="s">
        <v>144</v>
      </c>
      <c r="D14" s="19"/>
      <c r="E14" s="22"/>
      <c r="F14" s="3"/>
      <c r="G14" s="3"/>
      <c r="H14" s="3"/>
      <c r="I14" s="3"/>
      <c r="J14" s="3"/>
      <c r="K14" s="3"/>
      <c r="L14" s="3"/>
      <c r="M14" s="3"/>
      <c r="N14" s="3"/>
      <c r="O14" s="3"/>
      <c r="P14" s="3"/>
      <c r="Q14" s="3"/>
      <c r="R14" s="3"/>
      <c r="S14" s="3"/>
      <c r="T14" s="3"/>
      <c r="U14" s="3"/>
      <c r="V14" s="3"/>
      <c r="W14" s="3"/>
      <c r="X14" s="3"/>
      <c r="Y14" s="3"/>
      <c r="Z14" s="3"/>
    </row>
    <row r="15" ht="42.0" customHeight="1">
      <c r="A15" s="8" t="s">
        <v>154</v>
      </c>
      <c r="B15" s="36" t="s">
        <v>156</v>
      </c>
      <c r="C15" s="37" t="s">
        <v>158</v>
      </c>
      <c r="D15" s="19"/>
      <c r="E15" s="22"/>
      <c r="F15" s="3"/>
      <c r="G15" s="3"/>
      <c r="H15" s="3"/>
      <c r="I15" s="3"/>
      <c r="J15" s="3"/>
      <c r="K15" s="3"/>
      <c r="L15" s="3"/>
      <c r="M15" s="3"/>
      <c r="N15" s="3"/>
      <c r="O15" s="3"/>
      <c r="P15" s="3"/>
      <c r="Q15" s="3"/>
      <c r="R15" s="3"/>
      <c r="S15" s="3"/>
      <c r="T15" s="3"/>
      <c r="U15" s="3"/>
      <c r="V15" s="3"/>
      <c r="W15" s="3"/>
      <c r="X15" s="3"/>
      <c r="Y15" s="3"/>
      <c r="Z15" s="3"/>
    </row>
    <row r="16" ht="42.0" customHeight="1">
      <c r="A16" s="8" t="s">
        <v>163</v>
      </c>
      <c r="B16" s="36" t="s">
        <v>164</v>
      </c>
      <c r="C16" s="37" t="s">
        <v>166</v>
      </c>
      <c r="D16" s="19"/>
      <c r="E16" s="22"/>
      <c r="F16" s="3"/>
      <c r="G16" s="3"/>
      <c r="H16" s="3"/>
      <c r="I16" s="3"/>
      <c r="J16" s="3"/>
      <c r="K16" s="3"/>
      <c r="L16" s="3"/>
      <c r="M16" s="3"/>
      <c r="N16" s="3"/>
      <c r="O16" s="3"/>
      <c r="P16" s="3"/>
      <c r="Q16" s="3"/>
      <c r="R16" s="3"/>
      <c r="S16" s="3"/>
      <c r="T16" s="3"/>
      <c r="U16" s="3"/>
      <c r="V16" s="3"/>
      <c r="W16" s="3"/>
      <c r="X16" s="3"/>
      <c r="Y16" s="3"/>
      <c r="Z16" s="3"/>
    </row>
    <row r="17" ht="42.0" customHeight="1">
      <c r="A17" s="8" t="s">
        <v>173</v>
      </c>
      <c r="B17" s="36" t="s">
        <v>174</v>
      </c>
      <c r="C17" s="37" t="s">
        <v>175</v>
      </c>
      <c r="D17" s="19"/>
      <c r="E17" s="22"/>
      <c r="F17" s="3"/>
      <c r="G17" s="3"/>
      <c r="H17" s="3"/>
      <c r="I17" s="3"/>
      <c r="J17" s="3"/>
      <c r="K17" s="3"/>
      <c r="L17" s="3"/>
      <c r="M17" s="3"/>
      <c r="N17" s="3"/>
      <c r="O17" s="3"/>
      <c r="P17" s="3"/>
      <c r="Q17" s="3"/>
      <c r="R17" s="3"/>
      <c r="S17" s="3"/>
      <c r="T17" s="3"/>
      <c r="U17" s="3"/>
      <c r="V17" s="3"/>
      <c r="W17" s="3"/>
      <c r="X17" s="3"/>
      <c r="Y17" s="3"/>
      <c r="Z17" s="3"/>
    </row>
    <row r="18" ht="42.0" customHeight="1">
      <c r="A18" s="8" t="s">
        <v>182</v>
      </c>
      <c r="B18" s="36" t="s">
        <v>183</v>
      </c>
      <c r="C18" s="37" t="s">
        <v>184</v>
      </c>
      <c r="D18" s="19"/>
      <c r="E18" s="22"/>
      <c r="F18" s="3"/>
      <c r="G18" s="3"/>
      <c r="H18" s="3"/>
      <c r="I18" s="3"/>
      <c r="J18" s="3"/>
      <c r="K18" s="3"/>
      <c r="L18" s="3"/>
      <c r="M18" s="3"/>
      <c r="N18" s="3"/>
      <c r="O18" s="3"/>
      <c r="P18" s="3"/>
      <c r="Q18" s="3"/>
      <c r="R18" s="3"/>
      <c r="S18" s="3"/>
      <c r="T18" s="3"/>
      <c r="U18" s="3"/>
      <c r="V18" s="3"/>
      <c r="W18" s="3"/>
      <c r="X18" s="3"/>
      <c r="Y18" s="3"/>
      <c r="Z18" s="3"/>
    </row>
    <row r="19" ht="42.0" customHeight="1">
      <c r="A19" s="8" t="s">
        <v>188</v>
      </c>
      <c r="B19" s="36" t="s">
        <v>189</v>
      </c>
      <c r="C19" s="37" t="s">
        <v>190</v>
      </c>
      <c r="D19" s="19"/>
      <c r="E19" s="22"/>
      <c r="F19" s="3"/>
      <c r="G19" s="3"/>
      <c r="H19" s="3"/>
      <c r="I19" s="3"/>
      <c r="J19" s="3"/>
      <c r="K19" s="3"/>
      <c r="L19" s="3"/>
      <c r="M19" s="3"/>
      <c r="N19" s="3"/>
      <c r="O19" s="3"/>
      <c r="P19" s="3"/>
      <c r="Q19" s="3"/>
      <c r="R19" s="3"/>
      <c r="S19" s="3"/>
      <c r="T19" s="3"/>
      <c r="U19" s="3"/>
      <c r="V19" s="3"/>
      <c r="W19" s="3"/>
      <c r="X19" s="3"/>
      <c r="Y19" s="3"/>
      <c r="Z19" s="3"/>
    </row>
    <row r="20" ht="42.0" customHeight="1">
      <c r="A20" s="8" t="s">
        <v>194</v>
      </c>
      <c r="B20" s="40" t="s">
        <v>197</v>
      </c>
      <c r="C20" s="37" t="s">
        <v>200</v>
      </c>
      <c r="D20" s="19"/>
      <c r="E20" s="22"/>
      <c r="F20" s="3"/>
      <c r="G20" s="3"/>
      <c r="H20" s="3"/>
      <c r="I20" s="3"/>
      <c r="J20" s="3"/>
      <c r="K20" s="3"/>
      <c r="L20" s="3"/>
      <c r="M20" s="3"/>
      <c r="N20" s="3"/>
      <c r="O20" s="3"/>
      <c r="P20" s="3"/>
      <c r="Q20" s="3"/>
      <c r="R20" s="3"/>
      <c r="S20" s="3"/>
      <c r="T20" s="3"/>
      <c r="U20" s="3"/>
      <c r="V20" s="3"/>
      <c r="W20" s="3"/>
      <c r="X20" s="3"/>
      <c r="Y20" s="3"/>
      <c r="Z20" s="3"/>
    </row>
    <row r="21" ht="42.0" customHeight="1">
      <c r="A21" s="8" t="s">
        <v>204</v>
      </c>
      <c r="B21" s="36" t="s">
        <v>206</v>
      </c>
      <c r="C21" s="37" t="s">
        <v>209</v>
      </c>
      <c r="D21" s="19"/>
      <c r="E21" s="22"/>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0">
    <mergeCell ref="C19:E19"/>
    <mergeCell ref="C20:E20"/>
    <mergeCell ref="C21:E21"/>
    <mergeCell ref="A1:E1"/>
    <mergeCell ref="A2:E2"/>
    <mergeCell ref="C14:E14"/>
    <mergeCell ref="C15:E15"/>
    <mergeCell ref="C16:E16"/>
    <mergeCell ref="C17:E17"/>
    <mergeCell ref="C18:E18"/>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0"/>
    <col customWidth="1" min="2" max="3" width="13.0"/>
    <col customWidth="1" min="4" max="4" width="11.0"/>
    <col customWidth="1" min="5" max="5" width="14.0"/>
    <col customWidth="1" min="6" max="7" width="12.0"/>
    <col customWidth="1" min="8" max="8" width="58.0"/>
  </cols>
  <sheetData>
    <row r="1" ht="19.5" customHeight="1">
      <c r="A1" s="1" t="s">
        <v>2</v>
      </c>
      <c r="I1" s="3"/>
      <c r="J1" s="3"/>
      <c r="K1" s="3"/>
      <c r="L1" s="3"/>
      <c r="M1" s="3"/>
      <c r="N1" s="3"/>
      <c r="O1" s="3"/>
      <c r="P1" s="3"/>
      <c r="Q1" s="3"/>
      <c r="R1" s="3"/>
      <c r="S1" s="3"/>
      <c r="T1" s="3"/>
      <c r="U1" s="3"/>
      <c r="V1" s="3"/>
      <c r="W1" s="3"/>
      <c r="X1" s="3"/>
      <c r="Y1" s="3"/>
      <c r="Z1" s="3"/>
    </row>
    <row r="2" ht="45.75" customHeight="1">
      <c r="A2" s="4" t="s">
        <v>6</v>
      </c>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ht="37.5" customHeight="1">
      <c r="A4" s="7" t="s">
        <v>10</v>
      </c>
      <c r="B4" s="7" t="s">
        <v>48</v>
      </c>
      <c r="C4" s="7" t="s">
        <v>51</v>
      </c>
      <c r="D4" s="7" t="s">
        <v>52</v>
      </c>
      <c r="E4" s="7" t="s">
        <v>53</v>
      </c>
      <c r="F4" s="7" t="s">
        <v>54</v>
      </c>
      <c r="G4" s="7" t="s">
        <v>55</v>
      </c>
      <c r="H4" s="7" t="s">
        <v>56</v>
      </c>
      <c r="I4" s="3"/>
      <c r="J4" s="3"/>
      <c r="K4" s="3"/>
      <c r="L4" s="3"/>
      <c r="M4" s="3"/>
      <c r="N4" s="3"/>
      <c r="O4" s="3"/>
      <c r="P4" s="3"/>
      <c r="Q4" s="3"/>
      <c r="R4" s="3"/>
      <c r="S4" s="3"/>
      <c r="T4" s="3"/>
      <c r="U4" s="3"/>
      <c r="V4" s="3"/>
      <c r="W4" s="3"/>
      <c r="X4" s="3"/>
      <c r="Y4" s="3"/>
      <c r="Z4" s="3"/>
    </row>
    <row r="5" ht="48.0" customHeight="1">
      <c r="A5" s="8" t="s">
        <v>60</v>
      </c>
      <c r="B5" s="16">
        <v>0.45</v>
      </c>
      <c r="C5" s="9">
        <v>255.0</v>
      </c>
      <c r="D5" s="28">
        <f t="shared" ref="D5:D10" si="1">C5/$C$11</f>
        <v>0.3</v>
      </c>
      <c r="E5" s="29">
        <v>0.05</v>
      </c>
      <c r="F5" s="32">
        <f t="shared" ref="F5:F10" si="2">ROUND(C5*E5,0)</f>
        <v>13</v>
      </c>
      <c r="G5" s="28">
        <f t="shared" ref="G5:G10" si="3">F5/$F$11</f>
        <v>0.13</v>
      </c>
      <c r="H5" s="34" t="s">
        <v>136</v>
      </c>
      <c r="I5" s="3"/>
      <c r="J5" s="3"/>
      <c r="K5" s="3"/>
      <c r="L5" s="3"/>
      <c r="M5" s="3"/>
      <c r="N5" s="3"/>
      <c r="O5" s="3"/>
      <c r="P5" s="3"/>
      <c r="Q5" s="3"/>
      <c r="R5" s="3"/>
      <c r="S5" s="3"/>
      <c r="T5" s="3"/>
      <c r="U5" s="3"/>
      <c r="V5" s="3"/>
      <c r="W5" s="3"/>
      <c r="X5" s="3"/>
      <c r="Y5" s="3"/>
      <c r="Z5" s="3"/>
    </row>
    <row r="6" ht="48.0" customHeight="1">
      <c r="A6" s="8" t="s">
        <v>147</v>
      </c>
      <c r="B6" s="16">
        <v>0.2</v>
      </c>
      <c r="C6" s="9">
        <v>212.0</v>
      </c>
      <c r="D6" s="28">
        <f t="shared" si="1"/>
        <v>0.2494117647</v>
      </c>
      <c r="E6" s="29">
        <v>0.15</v>
      </c>
      <c r="F6" s="32">
        <f t="shared" si="2"/>
        <v>32</v>
      </c>
      <c r="G6" s="28">
        <f t="shared" si="3"/>
        <v>0.32</v>
      </c>
      <c r="H6" s="34" t="s">
        <v>153</v>
      </c>
      <c r="I6" s="3"/>
      <c r="J6" s="3"/>
      <c r="K6" s="3"/>
      <c r="L6" s="3"/>
      <c r="M6" s="3"/>
      <c r="N6" s="3"/>
      <c r="O6" s="3"/>
      <c r="P6" s="3"/>
      <c r="Q6" s="3"/>
      <c r="R6" s="3"/>
      <c r="S6" s="3"/>
      <c r="T6" s="3"/>
      <c r="U6" s="3"/>
      <c r="V6" s="3"/>
      <c r="W6" s="3"/>
      <c r="X6" s="3"/>
      <c r="Y6" s="3"/>
      <c r="Z6" s="3"/>
    </row>
    <row r="7" ht="48.0" customHeight="1">
      <c r="A7" s="8" t="s">
        <v>159</v>
      </c>
      <c r="B7" s="16">
        <v>0.15</v>
      </c>
      <c r="C7" s="9">
        <v>170.0</v>
      </c>
      <c r="D7" s="28">
        <f t="shared" si="1"/>
        <v>0.2</v>
      </c>
      <c r="E7" s="29">
        <v>0.12</v>
      </c>
      <c r="F7" s="32">
        <f t="shared" si="2"/>
        <v>20</v>
      </c>
      <c r="G7" s="28">
        <f t="shared" si="3"/>
        <v>0.2</v>
      </c>
      <c r="H7" s="34" t="s">
        <v>165</v>
      </c>
      <c r="I7" s="3"/>
      <c r="J7" s="3"/>
      <c r="K7" s="3"/>
      <c r="L7" s="3"/>
      <c r="M7" s="3"/>
      <c r="N7" s="3"/>
      <c r="O7" s="3"/>
      <c r="P7" s="3"/>
      <c r="Q7" s="3"/>
      <c r="R7" s="3"/>
      <c r="S7" s="3"/>
      <c r="T7" s="3"/>
      <c r="U7" s="3"/>
      <c r="V7" s="3"/>
      <c r="W7" s="3"/>
      <c r="X7" s="3"/>
      <c r="Y7" s="3"/>
      <c r="Z7" s="3"/>
    </row>
    <row r="8" ht="48.0" customHeight="1">
      <c r="A8" s="8" t="s">
        <v>169</v>
      </c>
      <c r="B8" s="16">
        <v>0.1</v>
      </c>
      <c r="C8" s="9">
        <v>128.0</v>
      </c>
      <c r="D8" s="28">
        <f t="shared" si="1"/>
        <v>0.1505882353</v>
      </c>
      <c r="E8" s="29">
        <v>0.2</v>
      </c>
      <c r="F8" s="32">
        <f t="shared" si="2"/>
        <v>26</v>
      </c>
      <c r="G8" s="28">
        <f t="shared" si="3"/>
        <v>0.26</v>
      </c>
      <c r="H8" s="34" t="s">
        <v>176</v>
      </c>
      <c r="I8" s="3"/>
      <c r="J8" s="3"/>
      <c r="K8" s="3"/>
      <c r="L8" s="3"/>
      <c r="M8" s="3"/>
      <c r="N8" s="3"/>
      <c r="O8" s="3"/>
      <c r="P8" s="3"/>
      <c r="Q8" s="3"/>
      <c r="R8" s="3"/>
      <c r="S8" s="3"/>
      <c r="T8" s="3"/>
      <c r="U8" s="3"/>
      <c r="V8" s="3"/>
      <c r="W8" s="3"/>
      <c r="X8" s="3"/>
      <c r="Y8" s="3"/>
      <c r="Z8" s="3"/>
    </row>
    <row r="9" ht="48.0" customHeight="1">
      <c r="A9" s="8" t="s">
        <v>181</v>
      </c>
      <c r="B9" s="16">
        <v>0.05</v>
      </c>
      <c r="C9" s="9">
        <v>51.0</v>
      </c>
      <c r="D9" s="28">
        <f t="shared" si="1"/>
        <v>0.06</v>
      </c>
      <c r="E9" s="29">
        <v>0.12</v>
      </c>
      <c r="F9" s="32">
        <f t="shared" si="2"/>
        <v>6</v>
      </c>
      <c r="G9" s="28">
        <f t="shared" si="3"/>
        <v>0.06</v>
      </c>
      <c r="H9" s="34" t="s">
        <v>187</v>
      </c>
      <c r="I9" s="3"/>
      <c r="J9" s="3"/>
      <c r="K9" s="3"/>
      <c r="L9" s="3"/>
      <c r="M9" s="3"/>
      <c r="N9" s="3"/>
      <c r="O9" s="3"/>
      <c r="P9" s="3"/>
      <c r="Q9" s="3"/>
      <c r="R9" s="3"/>
      <c r="S9" s="3"/>
      <c r="T9" s="3"/>
      <c r="U9" s="3"/>
      <c r="V9" s="3"/>
      <c r="W9" s="3"/>
      <c r="X9" s="3"/>
      <c r="Y9" s="3"/>
      <c r="Z9" s="3"/>
    </row>
    <row r="10" ht="48.0" customHeight="1">
      <c r="A10" s="8" t="s">
        <v>192</v>
      </c>
      <c r="B10" s="16">
        <v>0.05</v>
      </c>
      <c r="C10" s="9">
        <v>34.0</v>
      </c>
      <c r="D10" s="28">
        <f t="shared" si="1"/>
        <v>0.04</v>
      </c>
      <c r="E10" s="29">
        <v>0.1</v>
      </c>
      <c r="F10" s="32">
        <f t="shared" si="2"/>
        <v>3</v>
      </c>
      <c r="G10" s="28">
        <f t="shared" si="3"/>
        <v>0.03</v>
      </c>
      <c r="H10" s="34" t="s">
        <v>199</v>
      </c>
      <c r="I10" s="3"/>
      <c r="J10" s="3"/>
      <c r="K10" s="3"/>
      <c r="L10" s="3"/>
      <c r="M10" s="3"/>
      <c r="N10" s="3"/>
      <c r="O10" s="3"/>
      <c r="P10" s="3"/>
      <c r="Q10" s="3"/>
      <c r="R10" s="3"/>
      <c r="S10" s="3"/>
      <c r="T10" s="3"/>
      <c r="U10" s="3"/>
      <c r="V10" s="3"/>
      <c r="W10" s="3"/>
      <c r="X10" s="3"/>
      <c r="Y10" s="3"/>
      <c r="Z10" s="3"/>
    </row>
    <row r="11" ht="39.75" customHeight="1">
      <c r="A11" s="43" t="s">
        <v>202</v>
      </c>
      <c r="B11" s="45">
        <f t="shared" ref="B11:D11" si="4">SUM(B5:B10)</f>
        <v>1</v>
      </c>
      <c r="C11" s="46">
        <f t="shared" si="4"/>
        <v>850</v>
      </c>
      <c r="D11" s="45">
        <f t="shared" si="4"/>
        <v>1</v>
      </c>
      <c r="E11" s="47">
        <f>F11/C11</f>
        <v>0.1176470588</v>
      </c>
      <c r="F11" s="46">
        <f t="shared" ref="F11:G11" si="5">SUM(F5:F10)</f>
        <v>100</v>
      </c>
      <c r="G11" s="45">
        <f t="shared" si="5"/>
        <v>1</v>
      </c>
      <c r="H11" s="49" t="s">
        <v>232</v>
      </c>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1" t="s">
        <v>239</v>
      </c>
      <c r="B13" s="3"/>
      <c r="C13" s="3"/>
      <c r="D13" s="3"/>
      <c r="E13" s="3"/>
      <c r="F13" s="3"/>
      <c r="G13" s="3"/>
      <c r="H13" s="3"/>
      <c r="I13" s="3"/>
      <c r="J13" s="3"/>
      <c r="K13" s="3"/>
      <c r="L13" s="3"/>
      <c r="M13" s="3"/>
      <c r="N13" s="3"/>
      <c r="O13" s="3"/>
      <c r="P13" s="3"/>
      <c r="Q13" s="3"/>
      <c r="R13" s="3"/>
      <c r="S13" s="3"/>
      <c r="T13" s="3"/>
      <c r="U13" s="3"/>
      <c r="V13" s="3"/>
      <c r="W13" s="3"/>
      <c r="X13" s="3"/>
      <c r="Y13" s="3"/>
      <c r="Z13" s="3"/>
    </row>
    <row r="14" ht="30.0" customHeight="1">
      <c r="A14" s="7" t="s">
        <v>10</v>
      </c>
      <c r="B14" s="7"/>
      <c r="C14" s="7"/>
      <c r="D14" s="7"/>
      <c r="E14" s="7" t="s">
        <v>240</v>
      </c>
      <c r="F14" s="7" t="s">
        <v>241</v>
      </c>
      <c r="G14" s="7"/>
      <c r="H14" s="7" t="s">
        <v>133</v>
      </c>
      <c r="I14" s="3"/>
      <c r="J14" s="3"/>
      <c r="K14" s="3"/>
      <c r="L14" s="3"/>
      <c r="M14" s="3"/>
      <c r="N14" s="3"/>
      <c r="O14" s="3"/>
      <c r="P14" s="3"/>
      <c r="Q14" s="3"/>
      <c r="R14" s="3"/>
      <c r="S14" s="3"/>
      <c r="T14" s="3"/>
      <c r="U14" s="3"/>
      <c r="V14" s="3"/>
      <c r="W14" s="3"/>
      <c r="X14" s="3"/>
      <c r="Y14" s="3"/>
      <c r="Z14" s="3"/>
    </row>
    <row r="15" ht="31.5" customHeight="1">
      <c r="A15" s="8" t="s">
        <v>60</v>
      </c>
      <c r="B15" s="51"/>
      <c r="C15" s="51"/>
      <c r="D15" s="51"/>
      <c r="E15" s="29">
        <v>0.35</v>
      </c>
      <c r="F15" s="52">
        <f t="shared" ref="F15:F20" si="6">ROUND(F5*E15,0)</f>
        <v>5</v>
      </c>
      <c r="G15" s="51"/>
      <c r="H15" s="34" t="s">
        <v>244</v>
      </c>
      <c r="I15" s="3"/>
      <c r="J15" s="3"/>
      <c r="K15" s="3"/>
      <c r="L15" s="3"/>
      <c r="M15" s="3"/>
      <c r="N15" s="3"/>
      <c r="O15" s="3"/>
      <c r="P15" s="3"/>
      <c r="Q15" s="3"/>
      <c r="R15" s="3"/>
      <c r="S15" s="3"/>
      <c r="T15" s="3"/>
      <c r="U15" s="3"/>
      <c r="V15" s="3"/>
      <c r="W15" s="3"/>
      <c r="X15" s="3"/>
      <c r="Y15" s="3"/>
      <c r="Z15" s="3"/>
    </row>
    <row r="16" ht="31.5" customHeight="1">
      <c r="A16" s="8" t="s">
        <v>147</v>
      </c>
      <c r="B16" s="51"/>
      <c r="C16" s="51"/>
      <c r="D16" s="51"/>
      <c r="E16" s="29">
        <v>0.25</v>
      </c>
      <c r="F16" s="52">
        <f t="shared" si="6"/>
        <v>8</v>
      </c>
      <c r="G16" s="51"/>
      <c r="H16" s="34" t="s">
        <v>248</v>
      </c>
      <c r="I16" s="3"/>
      <c r="J16" s="3"/>
      <c r="K16" s="3"/>
      <c r="L16" s="3"/>
      <c r="M16" s="3"/>
      <c r="N16" s="3"/>
      <c r="O16" s="3"/>
      <c r="P16" s="3"/>
      <c r="Q16" s="3"/>
      <c r="R16" s="3"/>
      <c r="S16" s="3"/>
      <c r="T16" s="3"/>
      <c r="U16" s="3"/>
      <c r="V16" s="3"/>
      <c r="W16" s="3"/>
      <c r="X16" s="3"/>
      <c r="Y16" s="3"/>
      <c r="Z16" s="3"/>
    </row>
    <row r="17" ht="31.5" customHeight="1">
      <c r="A17" s="8" t="s">
        <v>159</v>
      </c>
      <c r="B17" s="51"/>
      <c r="C17" s="51"/>
      <c r="D17" s="51"/>
      <c r="E17" s="29">
        <v>0.95</v>
      </c>
      <c r="F17" s="52">
        <f t="shared" si="6"/>
        <v>19</v>
      </c>
      <c r="G17" s="51"/>
      <c r="H17" s="34" t="s">
        <v>251</v>
      </c>
      <c r="I17" s="3"/>
      <c r="J17" s="3"/>
      <c r="K17" s="3"/>
      <c r="L17" s="3"/>
      <c r="M17" s="3"/>
      <c r="N17" s="3"/>
      <c r="O17" s="3"/>
      <c r="P17" s="3"/>
      <c r="Q17" s="3"/>
      <c r="R17" s="3"/>
      <c r="S17" s="3"/>
      <c r="T17" s="3"/>
      <c r="U17" s="3"/>
      <c r="V17" s="3"/>
      <c r="W17" s="3"/>
      <c r="X17" s="3"/>
      <c r="Y17" s="3"/>
      <c r="Z17" s="3"/>
    </row>
    <row r="18" ht="31.5" customHeight="1">
      <c r="A18" s="8" t="s">
        <v>169</v>
      </c>
      <c r="B18" s="51"/>
      <c r="C18" s="51"/>
      <c r="D18" s="51"/>
      <c r="E18" s="29">
        <v>0.3</v>
      </c>
      <c r="F18" s="52">
        <f t="shared" si="6"/>
        <v>8</v>
      </c>
      <c r="G18" s="51"/>
      <c r="H18" s="34" t="s">
        <v>253</v>
      </c>
      <c r="I18" s="3"/>
      <c r="J18" s="3"/>
      <c r="K18" s="3"/>
      <c r="L18" s="3"/>
      <c r="M18" s="3"/>
      <c r="N18" s="3"/>
      <c r="O18" s="3"/>
      <c r="P18" s="3"/>
      <c r="Q18" s="3"/>
      <c r="R18" s="3"/>
      <c r="S18" s="3"/>
      <c r="T18" s="3"/>
      <c r="U18" s="3"/>
      <c r="V18" s="3"/>
      <c r="W18" s="3"/>
      <c r="X18" s="3"/>
      <c r="Y18" s="3"/>
      <c r="Z18" s="3"/>
    </row>
    <row r="19" ht="31.5" customHeight="1">
      <c r="A19" s="8" t="s">
        <v>181</v>
      </c>
      <c r="B19" s="51"/>
      <c r="C19" s="51"/>
      <c r="D19" s="51"/>
      <c r="E19" s="29">
        <v>0.25</v>
      </c>
      <c r="F19" s="52">
        <f t="shared" si="6"/>
        <v>2</v>
      </c>
      <c r="G19" s="51"/>
      <c r="H19" s="34" t="s">
        <v>257</v>
      </c>
      <c r="I19" s="3"/>
      <c r="J19" s="3"/>
      <c r="K19" s="3"/>
      <c r="L19" s="3"/>
      <c r="M19" s="3"/>
      <c r="N19" s="3"/>
      <c r="O19" s="3"/>
      <c r="P19" s="3"/>
      <c r="Q19" s="3"/>
      <c r="R19" s="3"/>
      <c r="S19" s="3"/>
      <c r="T19" s="3"/>
      <c r="U19" s="3"/>
      <c r="V19" s="3"/>
      <c r="W19" s="3"/>
      <c r="X19" s="3"/>
      <c r="Y19" s="3"/>
      <c r="Z19" s="3"/>
    </row>
    <row r="20" ht="31.5" customHeight="1">
      <c r="A20" s="8" t="s">
        <v>192</v>
      </c>
      <c r="B20" s="51"/>
      <c r="C20" s="51"/>
      <c r="D20" s="51"/>
      <c r="E20" s="29">
        <v>0.2</v>
      </c>
      <c r="F20" s="52">
        <f t="shared" si="6"/>
        <v>1</v>
      </c>
      <c r="G20" s="51"/>
      <c r="H20" s="34" t="s">
        <v>261</v>
      </c>
      <c r="I20" s="3"/>
      <c r="J20" s="3"/>
      <c r="K20" s="3"/>
      <c r="L20" s="3"/>
      <c r="M20" s="3"/>
      <c r="N20" s="3"/>
      <c r="O20" s="3"/>
      <c r="P20" s="3"/>
      <c r="Q20" s="3"/>
      <c r="R20" s="3"/>
      <c r="S20" s="3"/>
      <c r="T20" s="3"/>
      <c r="U20" s="3"/>
      <c r="V20" s="3"/>
      <c r="W20" s="3"/>
      <c r="X20" s="3"/>
      <c r="Y20" s="3"/>
      <c r="Z20" s="3"/>
    </row>
    <row r="21" ht="39.75" customHeight="1">
      <c r="A21" s="43" t="s">
        <v>262</v>
      </c>
      <c r="B21" s="7"/>
      <c r="C21" s="7"/>
      <c r="D21" s="7"/>
      <c r="E21" s="45">
        <f>F21/$F$11</f>
        <v>0.43</v>
      </c>
      <c r="F21" s="46">
        <f>SUM(F15:F20)</f>
        <v>43</v>
      </c>
      <c r="G21" s="7"/>
      <c r="H21" s="49" t="s">
        <v>267</v>
      </c>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39.75" customHeight="1">
      <c r="A23" s="53" t="s">
        <v>269</v>
      </c>
      <c r="I23" s="3"/>
      <c r="J23" s="3"/>
      <c r="K23" s="3"/>
      <c r="L23" s="3"/>
      <c r="M23" s="3"/>
      <c r="N23" s="3"/>
      <c r="O23" s="3"/>
      <c r="P23" s="3"/>
      <c r="Q23" s="3"/>
      <c r="R23" s="3"/>
      <c r="S23" s="3"/>
      <c r="T23" s="3"/>
      <c r="U23" s="3"/>
      <c r="V23" s="3"/>
      <c r="W23" s="3"/>
      <c r="X23" s="3"/>
      <c r="Y23" s="3"/>
      <c r="Z23" s="3"/>
    </row>
    <row r="24" ht="25.5" customHeight="1">
      <c r="A24" s="44" t="s">
        <v>270</v>
      </c>
      <c r="I24" s="3"/>
      <c r="J24" s="3"/>
      <c r="K24" s="3"/>
      <c r="L24" s="3"/>
      <c r="M24" s="3"/>
      <c r="N24" s="3"/>
      <c r="O24" s="3"/>
      <c r="P24" s="3"/>
      <c r="Q24" s="3"/>
      <c r="R24" s="3"/>
      <c r="S24" s="3"/>
      <c r="T24" s="3"/>
      <c r="U24" s="3"/>
      <c r="V24" s="3"/>
      <c r="W24" s="3"/>
      <c r="X24" s="3"/>
      <c r="Y24" s="3"/>
      <c r="Z24" s="3"/>
    </row>
    <row r="25" ht="25.5" customHeight="1">
      <c r="A25" s="44" t="s">
        <v>271</v>
      </c>
      <c r="I25" s="3"/>
      <c r="J25" s="3"/>
      <c r="K25" s="3"/>
      <c r="L25" s="3"/>
      <c r="M25" s="3"/>
      <c r="N25" s="3"/>
      <c r="O25" s="3"/>
      <c r="P25" s="3"/>
      <c r="Q25" s="3"/>
      <c r="R25" s="3"/>
      <c r="S25" s="3"/>
      <c r="T25" s="3"/>
      <c r="U25" s="3"/>
      <c r="V25" s="3"/>
      <c r="W25" s="3"/>
      <c r="X25" s="3"/>
      <c r="Y25" s="3"/>
      <c r="Z25" s="3"/>
    </row>
    <row r="26" ht="25.5" customHeight="1">
      <c r="A26" s="44" t="s">
        <v>272</v>
      </c>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A1:H1"/>
    <mergeCell ref="A2:H2"/>
    <mergeCell ref="A23:H23"/>
    <mergeCell ref="A24:H24"/>
    <mergeCell ref="A25:H25"/>
    <mergeCell ref="A26:H26"/>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2" width="42.0"/>
    <col customWidth="1" min="3" max="3" width="24.0"/>
    <col customWidth="1" min="4" max="4" width="35.71"/>
    <col customWidth="1" min="5" max="5" width="25.86"/>
    <col customWidth="1" min="6" max="6" width="16.0"/>
  </cols>
  <sheetData>
    <row r="1" ht="19.5" customHeight="1">
      <c r="A1" s="1" t="s">
        <v>313</v>
      </c>
      <c r="G1" s="3"/>
      <c r="H1" s="3"/>
      <c r="I1" s="3"/>
      <c r="J1" s="3"/>
      <c r="K1" s="3"/>
      <c r="L1" s="3"/>
      <c r="M1" s="3"/>
      <c r="N1" s="3"/>
      <c r="O1" s="3"/>
      <c r="P1" s="3"/>
      <c r="Q1" s="3"/>
      <c r="R1" s="3"/>
      <c r="S1" s="3"/>
      <c r="T1" s="3"/>
      <c r="U1" s="3"/>
      <c r="V1" s="3"/>
      <c r="W1" s="3"/>
      <c r="X1" s="3"/>
      <c r="Y1" s="3"/>
      <c r="Z1" s="3"/>
    </row>
    <row r="2" ht="45.75" customHeight="1">
      <c r="A2" s="4" t="s">
        <v>314</v>
      </c>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ht="33.75" customHeight="1">
      <c r="A4" s="7" t="s">
        <v>315</v>
      </c>
      <c r="B4" s="7" t="s">
        <v>316</v>
      </c>
      <c r="C4" s="7" t="s">
        <v>16</v>
      </c>
      <c r="D4" s="7" t="s">
        <v>317</v>
      </c>
      <c r="E4" s="7" t="s">
        <v>318</v>
      </c>
      <c r="F4" s="3"/>
      <c r="G4" s="3"/>
      <c r="H4" s="3"/>
      <c r="I4" s="3"/>
      <c r="J4" s="3"/>
      <c r="K4" s="3"/>
      <c r="L4" s="3"/>
      <c r="M4" s="3"/>
      <c r="N4" s="3"/>
      <c r="O4" s="3"/>
      <c r="P4" s="3"/>
      <c r="Q4" s="3"/>
      <c r="R4" s="3"/>
      <c r="S4" s="3"/>
      <c r="T4" s="3"/>
      <c r="U4" s="3"/>
      <c r="V4" s="3"/>
      <c r="W4" s="3"/>
      <c r="X4" s="3"/>
      <c r="Y4" s="3"/>
      <c r="Z4" s="3"/>
    </row>
    <row r="5" ht="99.75" customHeight="1">
      <c r="A5" s="60" t="s">
        <v>319</v>
      </c>
      <c r="B5" s="61" t="s">
        <v>320</v>
      </c>
      <c r="C5" s="62" t="s">
        <v>321</v>
      </c>
      <c r="D5" s="61" t="s">
        <v>322</v>
      </c>
      <c r="E5" s="61" t="s">
        <v>323</v>
      </c>
      <c r="F5" s="63"/>
      <c r="G5" s="3"/>
      <c r="H5" s="3"/>
      <c r="I5" s="3"/>
      <c r="J5" s="3"/>
      <c r="K5" s="3"/>
      <c r="L5" s="3"/>
      <c r="M5" s="3"/>
      <c r="N5" s="3"/>
      <c r="O5" s="3"/>
      <c r="P5" s="3"/>
      <c r="Q5" s="3"/>
      <c r="R5" s="3"/>
      <c r="S5" s="3"/>
      <c r="T5" s="3"/>
      <c r="U5" s="3"/>
      <c r="V5" s="3"/>
      <c r="W5" s="3"/>
      <c r="X5" s="3"/>
      <c r="Y5" s="3"/>
      <c r="Z5" s="3"/>
    </row>
    <row r="6" ht="99.75" customHeight="1">
      <c r="A6" s="60" t="s">
        <v>324</v>
      </c>
      <c r="B6" s="61" t="s">
        <v>325</v>
      </c>
      <c r="C6" s="62" t="s">
        <v>326</v>
      </c>
      <c r="D6" s="61" t="s">
        <v>327</v>
      </c>
      <c r="E6" s="61" t="s">
        <v>328</v>
      </c>
      <c r="F6" s="64" t="s">
        <v>329</v>
      </c>
      <c r="G6" s="3"/>
      <c r="H6" s="3"/>
      <c r="I6" s="3"/>
      <c r="J6" s="3"/>
      <c r="K6" s="3"/>
      <c r="L6" s="3"/>
      <c r="M6" s="3"/>
      <c r="N6" s="3"/>
      <c r="O6" s="3"/>
      <c r="P6" s="3"/>
      <c r="Q6" s="3"/>
      <c r="R6" s="3"/>
      <c r="S6" s="3"/>
      <c r="T6" s="3"/>
      <c r="U6" s="3"/>
      <c r="V6" s="3"/>
      <c r="W6" s="3"/>
      <c r="X6" s="3"/>
      <c r="Y6" s="3"/>
      <c r="Z6" s="3"/>
    </row>
    <row r="7" ht="87.75" customHeight="1">
      <c r="A7" s="60" t="s">
        <v>330</v>
      </c>
      <c r="B7" s="14" t="s">
        <v>331</v>
      </c>
      <c r="C7" s="15" t="s">
        <v>332</v>
      </c>
      <c r="D7" s="14" t="s">
        <v>333</v>
      </c>
      <c r="E7" s="65" t="s">
        <v>334</v>
      </c>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1" t="s">
        <v>335</v>
      </c>
      <c r="B9" s="3"/>
      <c r="C9" s="3"/>
      <c r="D9" s="3"/>
      <c r="E9" s="3"/>
      <c r="F9" s="3"/>
      <c r="G9" s="3"/>
      <c r="H9" s="3"/>
      <c r="I9" s="3"/>
      <c r="J9" s="3"/>
      <c r="K9" s="3"/>
      <c r="L9" s="3"/>
      <c r="M9" s="3"/>
      <c r="N9" s="3"/>
      <c r="O9" s="3"/>
      <c r="P9" s="3"/>
      <c r="Q9" s="3"/>
      <c r="R9" s="3"/>
      <c r="S9" s="3"/>
      <c r="T9" s="3"/>
      <c r="U9" s="3"/>
      <c r="V9" s="3"/>
      <c r="W9" s="3"/>
      <c r="X9" s="3"/>
      <c r="Y9" s="3"/>
      <c r="Z9" s="3"/>
    </row>
    <row r="10" ht="30.0" customHeight="1">
      <c r="A10" s="7" t="s">
        <v>336</v>
      </c>
      <c r="B10" s="7" t="s">
        <v>337</v>
      </c>
      <c r="C10" s="7" t="s">
        <v>338</v>
      </c>
      <c r="D10" s="7" t="s">
        <v>339</v>
      </c>
      <c r="E10" s="7" t="s">
        <v>340</v>
      </c>
      <c r="F10" s="7" t="s">
        <v>341</v>
      </c>
      <c r="G10" s="3"/>
      <c r="H10" s="3"/>
      <c r="I10" s="3"/>
      <c r="J10" s="3"/>
      <c r="K10" s="3"/>
      <c r="L10" s="3"/>
      <c r="M10" s="3"/>
      <c r="N10" s="3"/>
      <c r="O10" s="3"/>
      <c r="P10" s="3"/>
      <c r="Q10" s="3"/>
      <c r="R10" s="3"/>
      <c r="S10" s="3"/>
      <c r="T10" s="3"/>
      <c r="U10" s="3"/>
      <c r="V10" s="3"/>
      <c r="W10" s="3"/>
      <c r="X10" s="3"/>
      <c r="Y10" s="3"/>
      <c r="Z10" s="3"/>
    </row>
    <row r="11" ht="49.5" customHeight="1">
      <c r="A11" s="66" t="s">
        <v>342</v>
      </c>
      <c r="B11" s="9">
        <v>1000000.0</v>
      </c>
      <c r="C11" s="9">
        <v>255.0</v>
      </c>
      <c r="D11" s="67">
        <f t="shared" ref="D11:D15" si="1">ROUND(B11/C11,0)</f>
        <v>3922</v>
      </c>
      <c r="E11" s="34" t="s">
        <v>343</v>
      </c>
      <c r="F11" s="68" t="s">
        <v>344</v>
      </c>
      <c r="G11" s="3"/>
      <c r="H11" s="3"/>
      <c r="I11" s="3"/>
      <c r="J11" s="3"/>
      <c r="K11" s="3"/>
      <c r="L11" s="3"/>
      <c r="M11" s="3"/>
      <c r="N11" s="3"/>
      <c r="O11" s="3"/>
      <c r="P11" s="3"/>
      <c r="Q11" s="3"/>
      <c r="R11" s="3"/>
      <c r="S11" s="3"/>
      <c r="T11" s="3"/>
      <c r="U11" s="3"/>
      <c r="V11" s="3"/>
      <c r="W11" s="3"/>
      <c r="X11" s="3"/>
      <c r="Y11" s="3"/>
      <c r="Z11" s="3"/>
    </row>
    <row r="12" ht="49.5" customHeight="1">
      <c r="A12" s="66" t="s">
        <v>345</v>
      </c>
      <c r="B12" s="9">
        <v>660000.0</v>
      </c>
      <c r="C12" s="9">
        <v>320.0</v>
      </c>
      <c r="D12" s="67">
        <f t="shared" si="1"/>
        <v>2063</v>
      </c>
      <c r="E12" s="34" t="s">
        <v>346</v>
      </c>
      <c r="F12" s="68" t="s">
        <v>347</v>
      </c>
      <c r="G12" s="3"/>
      <c r="H12" s="3"/>
      <c r="I12" s="3"/>
      <c r="J12" s="3"/>
      <c r="K12" s="3"/>
      <c r="L12" s="3"/>
      <c r="M12" s="3"/>
      <c r="N12" s="3"/>
      <c r="O12" s="3"/>
      <c r="P12" s="3"/>
      <c r="Q12" s="3"/>
      <c r="R12" s="3"/>
      <c r="S12" s="3"/>
      <c r="T12" s="3"/>
      <c r="U12" s="3"/>
      <c r="V12" s="3"/>
      <c r="W12" s="3"/>
      <c r="X12" s="3"/>
      <c r="Y12" s="3"/>
      <c r="Z12" s="3"/>
    </row>
    <row r="13" ht="49.5" customHeight="1">
      <c r="A13" s="66" t="s">
        <v>348</v>
      </c>
      <c r="B13" s="9">
        <v>540000.0</v>
      </c>
      <c r="C13" s="9">
        <v>400.0</v>
      </c>
      <c r="D13" s="67">
        <f t="shared" si="1"/>
        <v>1350</v>
      </c>
      <c r="E13" s="34" t="s">
        <v>349</v>
      </c>
      <c r="F13" s="68" t="s">
        <v>350</v>
      </c>
      <c r="G13" s="3"/>
      <c r="H13" s="3"/>
      <c r="I13" s="3"/>
      <c r="J13" s="3"/>
      <c r="K13" s="3"/>
      <c r="L13" s="3"/>
      <c r="M13" s="3"/>
      <c r="N13" s="3"/>
      <c r="O13" s="3"/>
      <c r="P13" s="3"/>
      <c r="Q13" s="3"/>
      <c r="R13" s="3"/>
      <c r="S13" s="3"/>
      <c r="T13" s="3"/>
      <c r="U13" s="3"/>
      <c r="V13" s="3"/>
      <c r="W13" s="3"/>
      <c r="X13" s="3"/>
      <c r="Y13" s="3"/>
      <c r="Z13" s="3"/>
    </row>
    <row r="14" ht="49.5" customHeight="1">
      <c r="A14" s="66" t="s">
        <v>351</v>
      </c>
      <c r="B14" s="9">
        <v>460000.0</v>
      </c>
      <c r="C14" s="9">
        <v>480.0</v>
      </c>
      <c r="D14" s="67">
        <f t="shared" si="1"/>
        <v>958</v>
      </c>
      <c r="E14" s="34" t="s">
        <v>352</v>
      </c>
      <c r="F14" s="68" t="s">
        <v>353</v>
      </c>
      <c r="G14" s="3"/>
      <c r="H14" s="3"/>
      <c r="I14" s="3"/>
      <c r="J14" s="3"/>
      <c r="K14" s="3"/>
      <c r="L14" s="3"/>
      <c r="M14" s="3"/>
      <c r="N14" s="3"/>
      <c r="O14" s="3"/>
      <c r="P14" s="3"/>
      <c r="Q14" s="3"/>
      <c r="R14" s="3"/>
      <c r="S14" s="3"/>
      <c r="T14" s="3"/>
      <c r="U14" s="3"/>
      <c r="V14" s="3"/>
      <c r="W14" s="3"/>
      <c r="X14" s="3"/>
      <c r="Y14" s="3"/>
      <c r="Z14" s="3"/>
    </row>
    <row r="15" ht="43.5" customHeight="1">
      <c r="A15" s="43" t="s">
        <v>354</v>
      </c>
      <c r="B15" s="46">
        <f t="shared" ref="B15:C15" si="2">SUM(B11:B14)</f>
        <v>2660000</v>
      </c>
      <c r="C15" s="46">
        <f t="shared" si="2"/>
        <v>1455</v>
      </c>
      <c r="D15" s="46">
        <f t="shared" si="1"/>
        <v>1828</v>
      </c>
      <c r="E15" s="49" t="s">
        <v>355</v>
      </c>
      <c r="F15" s="4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42" t="s">
        <v>356</v>
      </c>
      <c r="B17" s="3"/>
      <c r="C17" s="3"/>
      <c r="D17" s="3"/>
      <c r="E17" s="3"/>
      <c r="F17" s="3"/>
      <c r="G17" s="3"/>
      <c r="H17" s="3"/>
      <c r="I17" s="3"/>
      <c r="J17" s="3"/>
      <c r="K17" s="3"/>
      <c r="L17" s="3"/>
      <c r="M17" s="3"/>
      <c r="N17" s="3"/>
      <c r="O17" s="3"/>
      <c r="P17" s="3"/>
      <c r="Q17" s="3"/>
      <c r="R17" s="3"/>
      <c r="S17" s="3"/>
      <c r="T17" s="3"/>
      <c r="U17" s="3"/>
      <c r="V17" s="3"/>
      <c r="W17" s="3"/>
      <c r="X17" s="3"/>
      <c r="Y17" s="3"/>
      <c r="Z17" s="3"/>
    </row>
    <row r="18" ht="27.75" customHeight="1">
      <c r="A18" s="44" t="s">
        <v>357</v>
      </c>
      <c r="G18" s="3"/>
      <c r="H18" s="3"/>
      <c r="I18" s="3"/>
      <c r="J18" s="3"/>
      <c r="K18" s="3"/>
      <c r="L18" s="3"/>
      <c r="M18" s="3"/>
      <c r="N18" s="3"/>
      <c r="O18" s="3"/>
      <c r="P18" s="3"/>
      <c r="Q18" s="3"/>
      <c r="R18" s="3"/>
      <c r="S18" s="3"/>
      <c r="T18" s="3"/>
      <c r="U18" s="3"/>
      <c r="V18" s="3"/>
      <c r="W18" s="3"/>
      <c r="X18" s="3"/>
      <c r="Y18" s="3"/>
      <c r="Z18" s="3"/>
    </row>
    <row r="19" ht="33.75" customHeight="1">
      <c r="A19" s="53" t="s">
        <v>358</v>
      </c>
      <c r="G19" s="3"/>
      <c r="H19" s="3"/>
      <c r="I19" s="3"/>
      <c r="J19" s="3"/>
      <c r="K19" s="3"/>
      <c r="L19" s="3"/>
      <c r="M19" s="3"/>
      <c r="N19" s="3"/>
      <c r="O19" s="3"/>
      <c r="P19" s="3"/>
      <c r="Q19" s="3"/>
      <c r="R19" s="3"/>
      <c r="S19" s="3"/>
      <c r="T19" s="3"/>
      <c r="U19" s="3"/>
      <c r="V19" s="3"/>
      <c r="W19" s="3"/>
      <c r="X19" s="3"/>
      <c r="Y19" s="3"/>
      <c r="Z19" s="3"/>
    </row>
    <row r="20" ht="27.75" customHeight="1">
      <c r="A20" s="44" t="s">
        <v>359</v>
      </c>
      <c r="G20" s="3"/>
      <c r="H20" s="3"/>
      <c r="I20" s="3"/>
      <c r="J20" s="3"/>
      <c r="K20" s="3"/>
      <c r="L20" s="3"/>
      <c r="M20" s="3"/>
      <c r="N20" s="3"/>
      <c r="O20" s="3"/>
      <c r="P20" s="3"/>
      <c r="Q20" s="3"/>
      <c r="R20" s="3"/>
      <c r="S20" s="3"/>
      <c r="T20" s="3"/>
      <c r="U20" s="3"/>
      <c r="V20" s="3"/>
      <c r="W20" s="3"/>
      <c r="X20" s="3"/>
      <c r="Y20" s="3"/>
      <c r="Z20" s="3"/>
    </row>
    <row r="21" ht="33.75" customHeight="1">
      <c r="A21" s="53" t="s">
        <v>360</v>
      </c>
      <c r="G21" s="3"/>
      <c r="H21" s="3"/>
      <c r="I21" s="3"/>
      <c r="J21" s="3"/>
      <c r="K21" s="3"/>
      <c r="L21" s="3"/>
      <c r="M21" s="3"/>
      <c r="N21" s="3"/>
      <c r="O21" s="3"/>
      <c r="P21" s="3"/>
      <c r="Q21" s="3"/>
      <c r="R21" s="3"/>
      <c r="S21" s="3"/>
      <c r="T21" s="3"/>
      <c r="U21" s="3"/>
      <c r="V21" s="3"/>
      <c r="W21" s="3"/>
      <c r="X21" s="3"/>
      <c r="Y21" s="3"/>
      <c r="Z21" s="3"/>
    </row>
    <row r="22" ht="33.75" customHeight="1">
      <c r="A22" s="53" t="s">
        <v>361</v>
      </c>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7">
    <mergeCell ref="A1:F1"/>
    <mergeCell ref="A2:F2"/>
    <mergeCell ref="A18:F18"/>
    <mergeCell ref="A19:F19"/>
    <mergeCell ref="A20:F20"/>
    <mergeCell ref="A21:F21"/>
    <mergeCell ref="A22:F2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9.0"/>
    <col customWidth="1" min="3" max="3" width="34.0"/>
    <col customWidth="1" min="4" max="7" width="15.0"/>
    <col customWidth="1" min="8" max="8" width="46.0"/>
  </cols>
  <sheetData>
    <row r="1" ht="19.5" customHeight="1">
      <c r="A1" s="1" t="s">
        <v>362</v>
      </c>
      <c r="I1" s="3"/>
      <c r="J1" s="3"/>
      <c r="K1" s="3"/>
      <c r="L1" s="3"/>
      <c r="M1" s="3"/>
      <c r="N1" s="3"/>
      <c r="O1" s="3"/>
      <c r="P1" s="3"/>
      <c r="Q1" s="3"/>
      <c r="R1" s="3"/>
      <c r="S1" s="3"/>
      <c r="T1" s="3"/>
      <c r="U1" s="3"/>
      <c r="V1" s="3"/>
      <c r="W1" s="3"/>
      <c r="X1" s="3"/>
      <c r="Y1" s="3"/>
      <c r="Z1" s="3"/>
    </row>
    <row r="2" ht="45.75" customHeight="1">
      <c r="A2" s="4" t="s">
        <v>363</v>
      </c>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1" t="s">
        <v>364</v>
      </c>
      <c r="B4" s="3"/>
      <c r="C4" s="3"/>
      <c r="D4" s="3"/>
      <c r="E4" s="3"/>
      <c r="F4" s="3"/>
      <c r="G4" s="3"/>
      <c r="H4" s="3"/>
      <c r="I4" s="3"/>
      <c r="J4" s="3"/>
      <c r="K4" s="3"/>
      <c r="L4" s="3"/>
      <c r="M4" s="3"/>
      <c r="N4" s="3"/>
      <c r="O4" s="3"/>
      <c r="P4" s="3"/>
      <c r="Q4" s="3"/>
      <c r="R4" s="3"/>
      <c r="S4" s="3"/>
      <c r="T4" s="3"/>
      <c r="U4" s="3"/>
      <c r="V4" s="3"/>
      <c r="W4" s="3"/>
      <c r="X4" s="3"/>
      <c r="Y4" s="3"/>
      <c r="Z4" s="3"/>
    </row>
    <row r="5" ht="33.75" customHeight="1">
      <c r="A5" s="7" t="s">
        <v>365</v>
      </c>
      <c r="B5" s="7" t="s">
        <v>366</v>
      </c>
      <c r="C5" s="7" t="s">
        <v>367</v>
      </c>
      <c r="D5" s="7" t="s">
        <v>368</v>
      </c>
      <c r="E5" s="7" t="s">
        <v>369</v>
      </c>
      <c r="F5" s="7" t="s">
        <v>370</v>
      </c>
      <c r="G5" s="7" t="s">
        <v>371</v>
      </c>
      <c r="H5" s="7" t="s">
        <v>372</v>
      </c>
      <c r="I5" s="3"/>
      <c r="J5" s="3"/>
      <c r="K5" s="3"/>
      <c r="L5" s="3"/>
      <c r="M5" s="3"/>
      <c r="N5" s="3"/>
      <c r="O5" s="3"/>
      <c r="P5" s="3"/>
      <c r="Q5" s="3"/>
      <c r="R5" s="3"/>
      <c r="S5" s="3"/>
      <c r="T5" s="3"/>
      <c r="U5" s="3"/>
      <c r="V5" s="3"/>
      <c r="W5" s="3"/>
      <c r="X5" s="3"/>
      <c r="Y5" s="3"/>
      <c r="Z5" s="3"/>
    </row>
    <row r="6" ht="43.5" customHeight="1">
      <c r="A6" s="8" t="s">
        <v>373</v>
      </c>
      <c r="B6" s="69">
        <v>2.0</v>
      </c>
      <c r="C6" s="34" t="s">
        <v>374</v>
      </c>
      <c r="D6" s="9">
        <v>3000000.0</v>
      </c>
      <c r="E6" s="32">
        <f t="shared" ref="E6:E8" si="1">B6*D6</f>
        <v>6000000</v>
      </c>
      <c r="F6" s="34" t="s">
        <v>375</v>
      </c>
      <c r="G6" s="34" t="s">
        <v>376</v>
      </c>
      <c r="H6" s="70" t="s">
        <v>377</v>
      </c>
      <c r="I6" s="3"/>
      <c r="J6" s="3"/>
      <c r="K6" s="3"/>
      <c r="L6" s="3"/>
      <c r="M6" s="3"/>
      <c r="N6" s="3"/>
      <c r="O6" s="3"/>
      <c r="P6" s="3"/>
      <c r="Q6" s="3"/>
      <c r="R6" s="3"/>
      <c r="S6" s="3"/>
      <c r="T6" s="3"/>
      <c r="U6" s="3"/>
      <c r="V6" s="3"/>
      <c r="W6" s="3"/>
      <c r="X6" s="3"/>
      <c r="Y6" s="3"/>
      <c r="Z6" s="3"/>
    </row>
    <row r="7" ht="43.5" customHeight="1">
      <c r="A7" s="8" t="s">
        <v>378</v>
      </c>
      <c r="B7" s="69">
        <v>3.0</v>
      </c>
      <c r="C7" s="34" t="s">
        <v>379</v>
      </c>
      <c r="D7" s="9">
        <v>1000000.0</v>
      </c>
      <c r="E7" s="32">
        <f t="shared" si="1"/>
        <v>3000000</v>
      </c>
      <c r="F7" s="34" t="s">
        <v>380</v>
      </c>
      <c r="G7" s="34" t="s">
        <v>381</v>
      </c>
      <c r="H7" s="71" t="s">
        <v>382</v>
      </c>
      <c r="I7" s="3"/>
      <c r="J7" s="3"/>
      <c r="K7" s="3"/>
      <c r="L7" s="3"/>
      <c r="M7" s="3"/>
      <c r="N7" s="3"/>
      <c r="O7" s="3"/>
      <c r="P7" s="3"/>
      <c r="Q7" s="3"/>
      <c r="R7" s="3"/>
      <c r="S7" s="3"/>
      <c r="T7" s="3"/>
      <c r="U7" s="3"/>
      <c r="V7" s="3"/>
      <c r="W7" s="3"/>
      <c r="X7" s="3"/>
      <c r="Y7" s="3"/>
      <c r="Z7" s="3"/>
    </row>
    <row r="8" ht="43.5" customHeight="1">
      <c r="A8" s="8" t="s">
        <v>383</v>
      </c>
      <c r="B8" s="69">
        <v>5.0</v>
      </c>
      <c r="C8" s="34" t="s">
        <v>384</v>
      </c>
      <c r="D8" s="9">
        <v>500000.0</v>
      </c>
      <c r="E8" s="32">
        <f t="shared" si="1"/>
        <v>2500000</v>
      </c>
      <c r="F8" s="34" t="s">
        <v>385</v>
      </c>
      <c r="G8" s="34" t="s">
        <v>386</v>
      </c>
      <c r="H8" s="71" t="s">
        <v>387</v>
      </c>
      <c r="I8" s="3"/>
      <c r="J8" s="3"/>
      <c r="K8" s="3"/>
      <c r="L8" s="3"/>
      <c r="M8" s="3"/>
      <c r="N8" s="3"/>
      <c r="O8" s="3"/>
      <c r="P8" s="3"/>
      <c r="Q8" s="3"/>
      <c r="R8" s="3"/>
      <c r="S8" s="3"/>
      <c r="T8" s="3"/>
      <c r="U8" s="3"/>
      <c r="V8" s="3"/>
      <c r="W8" s="3"/>
      <c r="X8" s="3"/>
      <c r="Y8" s="3"/>
      <c r="Z8" s="3"/>
    </row>
    <row r="9" ht="31.5" customHeight="1">
      <c r="A9" s="43" t="s">
        <v>388</v>
      </c>
      <c r="B9" s="46">
        <f>SUM(B6:B8)</f>
        <v>10</v>
      </c>
      <c r="C9" s="43"/>
      <c r="D9" s="7"/>
      <c r="E9" s="46">
        <f>SUM(E6:E8)</f>
        <v>11500000</v>
      </c>
      <c r="F9" s="72">
        <f>E9/1000000</f>
        <v>11.5</v>
      </c>
      <c r="G9" s="49" t="s">
        <v>389</v>
      </c>
      <c r="H9" s="7"/>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1" t="s">
        <v>390</v>
      </c>
      <c r="B11" s="3"/>
      <c r="C11" s="3"/>
      <c r="D11" s="3"/>
      <c r="E11" s="3"/>
      <c r="F11" s="3"/>
      <c r="G11" s="3"/>
      <c r="H11" s="3"/>
      <c r="I11" s="3"/>
      <c r="J11" s="3"/>
      <c r="K11" s="3"/>
      <c r="L11" s="3"/>
      <c r="M11" s="3"/>
      <c r="N11" s="3"/>
      <c r="O11" s="3"/>
      <c r="P11" s="3"/>
      <c r="Q11" s="3"/>
      <c r="R11" s="3"/>
      <c r="S11" s="3"/>
      <c r="T11" s="3"/>
      <c r="U11" s="3"/>
      <c r="V11" s="3"/>
      <c r="W11" s="3"/>
      <c r="X11" s="3"/>
      <c r="Y11" s="3"/>
      <c r="Z11" s="3"/>
    </row>
    <row r="12" ht="33.75" customHeight="1">
      <c r="A12" s="7" t="s">
        <v>365</v>
      </c>
      <c r="B12" s="7" t="s">
        <v>366</v>
      </c>
      <c r="C12" s="7" t="s">
        <v>391</v>
      </c>
      <c r="D12" s="7" t="s">
        <v>392</v>
      </c>
      <c r="E12" s="7" t="s">
        <v>393</v>
      </c>
      <c r="F12" s="7" t="s">
        <v>394</v>
      </c>
      <c r="G12" s="7" t="s">
        <v>395</v>
      </c>
      <c r="H12" s="7" t="s">
        <v>396</v>
      </c>
      <c r="I12" s="3"/>
      <c r="J12" s="3"/>
      <c r="K12" s="3"/>
      <c r="L12" s="3"/>
      <c r="M12" s="3"/>
      <c r="N12" s="3"/>
      <c r="O12" s="3"/>
      <c r="P12" s="3"/>
      <c r="Q12" s="3"/>
      <c r="R12" s="3"/>
      <c r="S12" s="3"/>
      <c r="T12" s="3"/>
      <c r="U12" s="3"/>
      <c r="V12" s="3"/>
      <c r="W12" s="3"/>
      <c r="X12" s="3"/>
      <c r="Y12" s="3"/>
      <c r="Z12" s="3"/>
    </row>
    <row r="13" ht="55.5" customHeight="1">
      <c r="A13" s="8" t="s">
        <v>397</v>
      </c>
      <c r="B13" s="69">
        <v>2.0</v>
      </c>
      <c r="C13" s="34" t="s">
        <v>398</v>
      </c>
      <c r="D13" s="73">
        <v>1.0E7</v>
      </c>
      <c r="E13" s="73">
        <v>1.5E7</v>
      </c>
      <c r="F13" s="52">
        <f t="shared" ref="F13:F15" si="2">B13*D13</f>
        <v>20000000</v>
      </c>
      <c r="G13" s="52">
        <f t="shared" ref="G13:G15" si="3">B13*E13</f>
        <v>30000000</v>
      </c>
      <c r="H13" s="34" t="s">
        <v>399</v>
      </c>
      <c r="I13" s="3"/>
      <c r="J13" s="3"/>
      <c r="K13" s="3"/>
      <c r="L13" s="3"/>
      <c r="M13" s="3"/>
      <c r="N13" s="3"/>
      <c r="O13" s="3"/>
      <c r="P13" s="3"/>
      <c r="Q13" s="3"/>
      <c r="R13" s="3"/>
      <c r="S13" s="3"/>
      <c r="T13" s="3"/>
      <c r="U13" s="3"/>
      <c r="V13" s="3"/>
      <c r="W13" s="3"/>
      <c r="X13" s="3"/>
      <c r="Y13" s="3"/>
      <c r="Z13" s="3"/>
    </row>
    <row r="14" ht="55.5" customHeight="1">
      <c r="A14" s="8" t="s">
        <v>400</v>
      </c>
      <c r="B14" s="69">
        <v>3.0</v>
      </c>
      <c r="C14" s="34" t="s">
        <v>401</v>
      </c>
      <c r="D14" s="73">
        <v>3000000.0</v>
      </c>
      <c r="E14" s="73">
        <v>5000000.0</v>
      </c>
      <c r="F14" s="52">
        <f t="shared" si="2"/>
        <v>9000000</v>
      </c>
      <c r="G14" s="52">
        <f t="shared" si="3"/>
        <v>15000000</v>
      </c>
      <c r="H14" s="34" t="s">
        <v>402</v>
      </c>
      <c r="I14" s="3"/>
      <c r="J14" s="3"/>
      <c r="K14" s="3"/>
      <c r="L14" s="3"/>
      <c r="M14" s="3"/>
      <c r="N14" s="3"/>
      <c r="O14" s="3"/>
      <c r="P14" s="3"/>
      <c r="Q14" s="3"/>
      <c r="R14" s="3"/>
      <c r="S14" s="3"/>
      <c r="T14" s="3"/>
      <c r="U14" s="3"/>
      <c r="V14" s="3"/>
      <c r="W14" s="3"/>
      <c r="X14" s="3"/>
      <c r="Y14" s="3"/>
      <c r="Z14" s="3"/>
    </row>
    <row r="15" ht="55.5" customHeight="1">
      <c r="A15" s="8" t="s">
        <v>403</v>
      </c>
      <c r="B15" s="69">
        <v>5.0</v>
      </c>
      <c r="C15" s="34" t="s">
        <v>404</v>
      </c>
      <c r="D15" s="73">
        <v>1000000.0</v>
      </c>
      <c r="E15" s="73">
        <v>2000000.0</v>
      </c>
      <c r="F15" s="52">
        <f t="shared" si="2"/>
        <v>5000000</v>
      </c>
      <c r="G15" s="52">
        <f t="shared" si="3"/>
        <v>10000000</v>
      </c>
      <c r="H15" s="34" t="s">
        <v>405</v>
      </c>
      <c r="I15" s="3"/>
      <c r="J15" s="3"/>
      <c r="K15" s="3"/>
      <c r="L15" s="3"/>
      <c r="M15" s="3"/>
      <c r="N15" s="3"/>
      <c r="O15" s="3"/>
      <c r="P15" s="3"/>
      <c r="Q15" s="3"/>
      <c r="R15" s="3"/>
      <c r="S15" s="3"/>
      <c r="T15" s="3"/>
      <c r="U15" s="3"/>
      <c r="V15" s="3"/>
      <c r="W15" s="3"/>
      <c r="X15" s="3"/>
      <c r="Y15" s="3"/>
      <c r="Z15" s="3"/>
    </row>
    <row r="16" ht="31.5" customHeight="1">
      <c r="A16" s="43" t="s">
        <v>406</v>
      </c>
      <c r="B16" s="46">
        <f>SUM(B13:B15)</f>
        <v>10</v>
      </c>
      <c r="C16" s="43" t="s">
        <v>407</v>
      </c>
      <c r="D16" s="7"/>
      <c r="E16" s="7"/>
      <c r="F16" s="46">
        <f t="shared" ref="F16:G16" si="4">SUM(F13:F15)</f>
        <v>34000000</v>
      </c>
      <c r="G16" s="46">
        <f t="shared" si="4"/>
        <v>55000000</v>
      </c>
      <c r="H16" s="49" t="s">
        <v>408</v>
      </c>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42" t="s">
        <v>409</v>
      </c>
      <c r="B18" s="3"/>
      <c r="C18" s="3"/>
      <c r="D18" s="3"/>
      <c r="E18" s="3"/>
      <c r="F18" s="3"/>
      <c r="G18" s="3"/>
      <c r="H18" s="3"/>
      <c r="I18" s="3"/>
      <c r="J18" s="3"/>
      <c r="K18" s="3"/>
      <c r="L18" s="3"/>
      <c r="M18" s="3"/>
      <c r="N18" s="3"/>
      <c r="O18" s="3"/>
      <c r="P18" s="3"/>
      <c r="Q18" s="3"/>
      <c r="R18" s="3"/>
      <c r="S18" s="3"/>
      <c r="T18" s="3"/>
      <c r="U18" s="3"/>
      <c r="V18" s="3"/>
      <c r="W18" s="3"/>
      <c r="X18" s="3"/>
      <c r="Y18" s="3"/>
      <c r="Z18" s="3"/>
    </row>
    <row r="19" ht="27.75" customHeight="1">
      <c r="A19" s="44" t="s">
        <v>410</v>
      </c>
      <c r="I19" s="3"/>
      <c r="J19" s="3"/>
      <c r="K19" s="3"/>
      <c r="L19" s="3"/>
      <c r="M19" s="3"/>
      <c r="N19" s="3"/>
      <c r="O19" s="3"/>
      <c r="P19" s="3"/>
      <c r="Q19" s="3"/>
      <c r="R19" s="3"/>
      <c r="S19" s="3"/>
      <c r="T19" s="3"/>
      <c r="U19" s="3"/>
      <c r="V19" s="3"/>
      <c r="W19" s="3"/>
      <c r="X19" s="3"/>
      <c r="Y19" s="3"/>
      <c r="Z19" s="3"/>
    </row>
    <row r="20" ht="27.75" customHeight="1">
      <c r="A20" s="44" t="s">
        <v>411</v>
      </c>
      <c r="I20" s="3"/>
      <c r="J20" s="3"/>
      <c r="K20" s="3"/>
      <c r="L20" s="3"/>
      <c r="M20" s="3"/>
      <c r="N20" s="3"/>
      <c r="O20" s="3"/>
      <c r="P20" s="3"/>
      <c r="Q20" s="3"/>
      <c r="R20" s="3"/>
      <c r="S20" s="3"/>
      <c r="T20" s="3"/>
      <c r="U20" s="3"/>
      <c r="V20" s="3"/>
      <c r="W20" s="3"/>
      <c r="X20" s="3"/>
      <c r="Y20" s="3"/>
      <c r="Z20" s="3"/>
    </row>
    <row r="21" ht="27.75" customHeight="1">
      <c r="A21" s="44" t="s">
        <v>412</v>
      </c>
      <c r="I21" s="3"/>
      <c r="J21" s="3"/>
      <c r="K21" s="3"/>
      <c r="L21" s="3"/>
      <c r="M21" s="3"/>
      <c r="N21" s="3"/>
      <c r="O21" s="3"/>
      <c r="P21" s="3"/>
      <c r="Q21" s="3"/>
      <c r="R21" s="3"/>
      <c r="S21" s="3"/>
      <c r="T21" s="3"/>
      <c r="U21" s="3"/>
      <c r="V21" s="3"/>
      <c r="W21" s="3"/>
      <c r="X21" s="3"/>
      <c r="Y21" s="3"/>
      <c r="Z21" s="3"/>
    </row>
    <row r="22" ht="27.75" customHeight="1">
      <c r="A22" s="44" t="s">
        <v>413</v>
      </c>
      <c r="I22" s="3"/>
      <c r="J22" s="3"/>
      <c r="K22" s="3"/>
      <c r="L22" s="3"/>
      <c r="M22" s="3"/>
      <c r="N22" s="3"/>
      <c r="O22" s="3"/>
      <c r="P22" s="3"/>
      <c r="Q22" s="3"/>
      <c r="R22" s="3"/>
      <c r="S22" s="3"/>
      <c r="T22" s="3"/>
      <c r="U22" s="3"/>
      <c r="V22" s="3"/>
      <c r="W22" s="3"/>
      <c r="X22" s="3"/>
      <c r="Y22" s="3"/>
      <c r="Z22" s="3"/>
    </row>
    <row r="23" ht="27.75" customHeight="1">
      <c r="A23" s="44" t="s">
        <v>414</v>
      </c>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7">
    <mergeCell ref="A1:H1"/>
    <mergeCell ref="A2:H2"/>
    <mergeCell ref="A19:H19"/>
    <mergeCell ref="A20:H20"/>
    <mergeCell ref="A21:H21"/>
    <mergeCell ref="A22:H22"/>
    <mergeCell ref="A23:H23"/>
  </mergeCells>
  <printOptions/>
  <pageMargins bottom="1.0" footer="0.0" header="0.0" left="0.75" right="0.75" top="1.0"/>
  <pageSetup orientation="landscape"/>
  <drawing r:id="rId1"/>
</worksheet>
</file>